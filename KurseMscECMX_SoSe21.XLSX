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40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artin/Git projects/ECMTX_course_overview/"/>
    </mc:Choice>
  </mc:AlternateContent>
  <xr:revisionPtr revIDLastSave="0" documentId="13_ncr:1_{E6C835F4-2CEB-9D4B-8439-293CED0DE6E3}" xr6:coauthVersionLast="46" xr6:coauthVersionMax="46" xr10:uidLastSave="{00000000-0000-0000-0000-000000000000}"/>
  <bookViews>
    <workbookView xWindow="220" yWindow="780" windowWidth="28800" windowHeight="18000" tabRatio="500" activeTab="1" xr2:uid="{00000000-000D-0000-FFFF-FFFF00000000}"/>
  </bookViews>
  <sheets>
    <sheet name="Liste" sheetId="8" r:id="rId1"/>
    <sheet name="Kursliste" sheetId="5" r:id="rId2"/>
    <sheet name="Übersicht Winter 19" sheetId="7" r:id="rId3"/>
  </sheets>
  <definedNames>
    <definedName name="_xlnm._FilterDatabase" localSheetId="1" hidden="1">Kursliste!$A$1:$U$125</definedName>
    <definedName name="_xlnm._FilterDatabase" localSheetId="0" hidden="1">Liste!$A$1:$C$33</definedName>
    <definedName name="_xlnm._FilterDatabase" localSheetId="2" hidden="1">'Übersicht Winter 19'!$A$2:$F$73</definedName>
    <definedName name="Anfangszeit" localSheetId="0">#REF!</definedName>
    <definedName name="Anfangszeit">#REF!</definedName>
    <definedName name="Intervall" localSheetId="0">#REF!</definedName>
    <definedName name="Intervall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34" i="5" l="1"/>
  <c r="P34" i="5" s="1"/>
  <c r="B58" i="5"/>
  <c r="P58" i="5" s="1"/>
  <c r="B5" i="5"/>
  <c r="P5" i="5" s="1"/>
  <c r="B33" i="5"/>
  <c r="P33" i="5" s="1"/>
  <c r="B35" i="5"/>
  <c r="P35" i="5" s="1"/>
  <c r="B81" i="5"/>
  <c r="P81" i="5" s="1"/>
  <c r="B82" i="5"/>
  <c r="P82" i="5" s="1"/>
  <c r="B36" i="5"/>
  <c r="P36" i="5" s="1"/>
  <c r="B25" i="5"/>
  <c r="P25" i="5" s="1"/>
  <c r="B16" i="5"/>
  <c r="P16" i="5" s="1"/>
  <c r="B17" i="5"/>
  <c r="P17" i="5" s="1"/>
  <c r="B18" i="5"/>
  <c r="P18" i="5" s="1"/>
  <c r="B19" i="5"/>
  <c r="P19" i="5" s="1"/>
  <c r="B37" i="5"/>
  <c r="P37" i="5" s="1"/>
  <c r="B38" i="5"/>
  <c r="P38" i="5" s="1"/>
  <c r="B7" i="5"/>
  <c r="P7" i="5" s="1"/>
  <c r="B8" i="5"/>
  <c r="P8" i="5" s="1"/>
  <c r="B111" i="5"/>
  <c r="P111" i="5" s="1"/>
  <c r="B112" i="5"/>
  <c r="P112" i="5" s="1"/>
  <c r="B113" i="5"/>
  <c r="P113" i="5" s="1"/>
  <c r="B9" i="5"/>
  <c r="P9" i="5" s="1"/>
  <c r="B12" i="5"/>
  <c r="P12" i="5" s="1"/>
  <c r="B22" i="5"/>
  <c r="P22" i="5" s="1"/>
  <c r="B55" i="5"/>
  <c r="P55" i="5" s="1"/>
  <c r="B56" i="5"/>
  <c r="P56" i="5" s="1"/>
  <c r="B57" i="5"/>
  <c r="P57" i="5" s="1"/>
  <c r="B27" i="5"/>
  <c r="P27" i="5" s="1"/>
  <c r="B30" i="5"/>
  <c r="P30" i="5" s="1"/>
  <c r="B74" i="5"/>
  <c r="P74" i="5" s="1"/>
  <c r="B75" i="5"/>
  <c r="P75" i="5" s="1"/>
  <c r="B28" i="5"/>
  <c r="P28" i="5" s="1"/>
  <c r="B39" i="5"/>
  <c r="P39" i="5" s="1"/>
  <c r="B40" i="5"/>
  <c r="P40" i="5" s="1"/>
  <c r="B125" i="5"/>
  <c r="P125" i="5" s="1"/>
  <c r="B117" i="5"/>
  <c r="P117" i="5" s="1"/>
  <c r="B118" i="5"/>
  <c r="P118" i="5" s="1"/>
  <c r="B119" i="5"/>
  <c r="P119" i="5" s="1"/>
  <c r="B100" i="5"/>
  <c r="P100" i="5" s="1"/>
  <c r="B101" i="5"/>
  <c r="P101" i="5" s="1"/>
  <c r="B41" i="5"/>
  <c r="P41" i="5" s="1"/>
  <c r="B93" i="5"/>
  <c r="P93" i="5" s="1"/>
  <c r="B94" i="5"/>
  <c r="P94" i="5" s="1"/>
  <c r="B6" i="5"/>
  <c r="P6" i="5" s="1"/>
  <c r="B20" i="5"/>
  <c r="P20" i="5" s="1"/>
  <c r="B21" i="5"/>
  <c r="P21" i="5" s="1"/>
  <c r="B42" i="5"/>
  <c r="P42" i="5" s="1"/>
  <c r="B43" i="5"/>
  <c r="P43" i="5" s="1"/>
  <c r="B45" i="5"/>
  <c r="P45" i="5" s="1"/>
  <c r="B79" i="5"/>
  <c r="P79" i="5" s="1"/>
  <c r="B80" i="5"/>
  <c r="P80" i="5" s="1"/>
  <c r="B46" i="5"/>
  <c r="P46" i="5" s="1"/>
  <c r="B47" i="5"/>
  <c r="P47" i="5" s="1"/>
  <c r="B48" i="5"/>
  <c r="P48" i="5" s="1"/>
  <c r="B104" i="5"/>
  <c r="P104" i="5" s="1"/>
  <c r="B105" i="5"/>
  <c r="P105" i="5" s="1"/>
  <c r="B49" i="5"/>
  <c r="P49" i="5" s="1"/>
  <c r="B50" i="5"/>
  <c r="P50" i="5" s="1"/>
  <c r="B51" i="5"/>
  <c r="P51" i="5" s="1"/>
  <c r="B76" i="5"/>
  <c r="P76" i="5" s="1"/>
  <c r="B116" i="5"/>
  <c r="P116" i="5" s="1"/>
  <c r="B52" i="5"/>
  <c r="P52" i="5" s="1"/>
  <c r="B59" i="5"/>
  <c r="P59" i="5" s="1"/>
  <c r="B60" i="5"/>
  <c r="P60" i="5" s="1"/>
  <c r="B63" i="5"/>
  <c r="P63" i="5" s="1"/>
  <c r="B2" i="5"/>
  <c r="P2" i="5" s="1"/>
  <c r="B10" i="5"/>
  <c r="P10" i="5" s="1"/>
  <c r="B11" i="5"/>
  <c r="P11" i="5" s="1"/>
  <c r="B64" i="5"/>
  <c r="P64" i="5" s="1"/>
  <c r="B31" i="5"/>
  <c r="P31" i="5" s="1"/>
  <c r="B32" i="5"/>
  <c r="P32" i="5" s="1"/>
  <c r="B23" i="5"/>
  <c r="P23" i="5" s="1"/>
  <c r="B24" i="5"/>
  <c r="P24" i="5" s="1"/>
  <c r="B67" i="5"/>
  <c r="P67" i="5" s="1"/>
  <c r="B68" i="5"/>
  <c r="P68" i="5" s="1"/>
  <c r="B120" i="5"/>
  <c r="P120" i="5" s="1"/>
  <c r="B72" i="5"/>
  <c r="P72" i="5" s="1"/>
  <c r="B73" i="5"/>
  <c r="P73" i="5" s="1"/>
  <c r="B88" i="5"/>
  <c r="P88" i="5" s="1"/>
  <c r="B89" i="5"/>
  <c r="P89" i="5" s="1"/>
  <c r="B92" i="5"/>
  <c r="P92" i="5" s="1"/>
  <c r="B77" i="5"/>
  <c r="P77" i="5" s="1"/>
  <c r="B78" i="5"/>
  <c r="P78" i="5" s="1"/>
  <c r="B44" i="5"/>
  <c r="P44" i="5" s="1"/>
  <c r="B70" i="5"/>
  <c r="P70" i="5" s="1"/>
  <c r="B71" i="5"/>
  <c r="P71" i="5" s="1"/>
  <c r="B109" i="5"/>
  <c r="P109" i="5" s="1"/>
  <c r="B110" i="5"/>
  <c r="P110" i="5" s="1"/>
  <c r="B114" i="5"/>
  <c r="P114" i="5" s="1"/>
  <c r="B115" i="5"/>
  <c r="P115" i="5" s="1"/>
  <c r="B83" i="5"/>
  <c r="P83" i="5" s="1"/>
  <c r="B90" i="5"/>
  <c r="P90" i="5" s="1"/>
  <c r="B91" i="5"/>
  <c r="P91" i="5" s="1"/>
  <c r="B95" i="5"/>
  <c r="P95" i="5" s="1"/>
  <c r="B86" i="5"/>
  <c r="P86" i="5" s="1"/>
  <c r="B87" i="5"/>
  <c r="P87" i="5" s="1"/>
  <c r="B26" i="5"/>
  <c r="P26" i="5" s="1"/>
  <c r="B29" i="5"/>
  <c r="P29" i="5" s="1"/>
  <c r="B65" i="5"/>
  <c r="P65" i="5" s="1"/>
  <c r="B66" i="5"/>
  <c r="P66" i="5" s="1"/>
  <c r="B98" i="5"/>
  <c r="P98" i="5" s="1"/>
  <c r="B13" i="5"/>
  <c r="P13" i="5" s="1"/>
  <c r="B14" i="5"/>
  <c r="P14" i="5" s="1"/>
  <c r="B96" i="5"/>
  <c r="P96" i="5" s="1"/>
  <c r="B99" i="5"/>
  <c r="P99" i="5" s="1"/>
  <c r="B102" i="5"/>
  <c r="P102" i="5" s="1"/>
  <c r="B103" i="5"/>
  <c r="P103" i="5" s="1"/>
  <c r="B107" i="5"/>
  <c r="P107" i="5" s="1"/>
  <c r="B61" i="5"/>
  <c r="P61" i="5" s="1"/>
  <c r="B62" i="5"/>
  <c r="P62" i="5" s="1"/>
  <c r="B108" i="5"/>
  <c r="P108" i="5" s="1"/>
  <c r="B106" i="5"/>
  <c r="P106" i="5" s="1"/>
  <c r="B15" i="5"/>
  <c r="P15" i="5" s="1"/>
  <c r="B53" i="5"/>
  <c r="P53" i="5" s="1"/>
  <c r="B54" i="5"/>
  <c r="P54" i="5" s="1"/>
  <c r="B97" i="5"/>
  <c r="P97" i="5" s="1"/>
  <c r="B69" i="5"/>
  <c r="P69" i="5" s="1"/>
  <c r="B85" i="5"/>
  <c r="P85" i="5" s="1"/>
  <c r="B3" i="5"/>
  <c r="P3" i="5" s="1"/>
  <c r="B4" i="5"/>
  <c r="P4" i="5" s="1"/>
  <c r="B121" i="5"/>
  <c r="P121" i="5" s="1"/>
  <c r="B122" i="5"/>
  <c r="P122" i="5" s="1"/>
  <c r="B123" i="5"/>
  <c r="P123" i="5" s="1"/>
  <c r="B124" i="5"/>
  <c r="P124" i="5" s="1"/>
  <c r="B84" i="5"/>
  <c r="P84" i="5" s="1"/>
</calcChain>
</file>

<file path=xl/sharedStrings.xml><?xml version="1.0" encoding="utf-8"?>
<sst xmlns="http://schemas.openxmlformats.org/spreadsheetml/2006/main" count="2345" uniqueCount="608">
  <si>
    <t>FECMX-D</t>
  </si>
  <si>
    <t>TSA</t>
  </si>
  <si>
    <t>EX-IH</t>
  </si>
  <si>
    <t>GT</t>
  </si>
  <si>
    <t>FECMX-B</t>
  </si>
  <si>
    <t>SM</t>
  </si>
  <si>
    <t>EX-FRM</t>
  </si>
  <si>
    <t>EX-SM</t>
  </si>
  <si>
    <t>NECMX</t>
  </si>
  <si>
    <t>EX-TSA</t>
  </si>
  <si>
    <t>EVT</t>
  </si>
  <si>
    <t>EX-EM</t>
  </si>
  <si>
    <t>EX-QAIE</t>
  </si>
  <si>
    <t>AME</t>
  </si>
  <si>
    <t>EEEP</t>
  </si>
  <si>
    <t>DAUS</t>
  </si>
  <si>
    <t>SMECMX</t>
  </si>
  <si>
    <t>EX-FM</t>
  </si>
  <si>
    <t>EX-NECMX</t>
  </si>
  <si>
    <t>FRM</t>
  </si>
  <si>
    <t>EX-AE</t>
  </si>
  <si>
    <t>EX-GT</t>
  </si>
  <si>
    <t>EX-BS</t>
  </si>
  <si>
    <t>EX-ATSA</t>
  </si>
  <si>
    <t>ECMXEM</t>
  </si>
  <si>
    <t>PE</t>
  </si>
  <si>
    <t>EX-PE</t>
  </si>
  <si>
    <t>ATSA</t>
  </si>
  <si>
    <t>EX-QCF</t>
  </si>
  <si>
    <t>ECMXII</t>
  </si>
  <si>
    <t>BS</t>
  </si>
  <si>
    <t>ATAE</t>
  </si>
  <si>
    <t>EX-BECMX</t>
  </si>
  <si>
    <t>EX-AM</t>
  </si>
  <si>
    <t>EX-MECMX-B</t>
  </si>
  <si>
    <t>MECMX-B</t>
  </si>
  <si>
    <t>RDME</t>
  </si>
  <si>
    <t>SV</t>
  </si>
  <si>
    <t>EX-ST</t>
  </si>
  <si>
    <t>EBSA</t>
  </si>
  <si>
    <t>EX-SV</t>
  </si>
  <si>
    <t>SL</t>
  </si>
  <si>
    <t>MECMX-E</t>
  </si>
  <si>
    <t>ST</t>
  </si>
  <si>
    <t>ECTS</t>
  </si>
  <si>
    <t>Kurs</t>
  </si>
  <si>
    <t>Modulname</t>
  </si>
  <si>
    <t>Veranstaltungstyp</t>
  </si>
  <si>
    <t>Anbieter</t>
  </si>
  <si>
    <t>ID</t>
  </si>
  <si>
    <t>Tag</t>
  </si>
  <si>
    <t>Ort</t>
  </si>
  <si>
    <t>Anfangszeit</t>
  </si>
  <si>
    <t>Endzeit</t>
  </si>
  <si>
    <t>zuletzt angeboten</t>
  </si>
  <si>
    <t>Semester</t>
  </si>
  <si>
    <t>Kommentar</t>
  </si>
  <si>
    <t>Link Modulhandbuch</t>
  </si>
  <si>
    <t>Sprache</t>
  </si>
  <si>
    <t>Section</t>
  </si>
  <si>
    <t>Advanced Forecasting in Energy Markets</t>
  </si>
  <si>
    <t>Seminar</t>
  </si>
  <si>
    <t>AFEM</t>
  </si>
  <si>
    <t>DIENSTAG</t>
  </si>
  <si>
    <t>Essen</t>
  </si>
  <si>
    <t>WS1819</t>
  </si>
  <si>
    <t>WS</t>
  </si>
  <si>
    <t>englisch</t>
  </si>
  <si>
    <t>Bayesian Econometrics</t>
  </si>
  <si>
    <t>Fortgeschrittene Ökonometrie</t>
  </si>
  <si>
    <t>Vorlesung</t>
  </si>
  <si>
    <t>Prof. Dr. Christoph Hanck</t>
  </si>
  <si>
    <t>BECMX</t>
  </si>
  <si>
    <t>WECHSELND</t>
  </si>
  <si>
    <t>SS</t>
  </si>
  <si>
    <t>https://www.wiwi.uni-due.de/studium-lehre/informationen-zu-den-modulen/fortgeschrittene-oekonometrie-m75/</t>
  </si>
  <si>
    <t>Übung</t>
  </si>
  <si>
    <t>SAMSTAG</t>
  </si>
  <si>
    <t>Causality and Programme Evaluation</t>
  </si>
  <si>
    <t>Prof. Dr. Martin Karlsson</t>
  </si>
  <si>
    <t>CAPE</t>
  </si>
  <si>
    <t>MONTAG</t>
  </si>
  <si>
    <t>SS18</t>
  </si>
  <si>
    <t>EX-CAPE</t>
  </si>
  <si>
    <t>MiTTWOCH</t>
  </si>
  <si>
    <t>Entscheidungstheorie</t>
  </si>
  <si>
    <t>Prof. Dr. Erwin Amann</t>
  </si>
  <si>
    <t>DC</t>
  </si>
  <si>
    <t xml:space="preserve"> Essen</t>
  </si>
  <si>
    <t>https://www.wiwi.uni-due.de/studium-lehre/informationen-zu-den-modulen/entscheidungstheorie-m174/</t>
  </si>
  <si>
    <t>deutsch</t>
  </si>
  <si>
    <t>EX-DC</t>
  </si>
  <si>
    <t>Econometrics II</t>
  </si>
  <si>
    <t>FREITAG</t>
  </si>
  <si>
    <t>http://rgs-econ.org/courses/current/</t>
  </si>
  <si>
    <t>EX-ECMXII</t>
  </si>
  <si>
    <t>Econometrics of Electricity Markets</t>
  </si>
  <si>
    <t>Vorlesung mit integrierter Übung</t>
  </si>
  <si>
    <t>Empirische Bilanzanalyse</t>
  </si>
  <si>
    <t>Prof. Dr. Andreas Behr</t>
  </si>
  <si>
    <t xml:space="preserve">SS17 abweichend: 
Fr 14:00 Uhr - 18:00 Uhr </t>
  </si>
  <si>
    <t>EX-EBSA</t>
  </si>
  <si>
    <t>MITTWOCH</t>
  </si>
  <si>
    <t xml:space="preserve">SS17 abweichend: 
Fr 12:00 Uhr - 14:00 Uhr </t>
  </si>
  <si>
    <t>Empirische Methoden</t>
  </si>
  <si>
    <t>EM</t>
  </si>
  <si>
    <t>WS1718</t>
  </si>
  <si>
    <t>https://www.oek.wiwi.uni-due.de/studium-lehre/lehrveranstaltungen/wintersemester-1718/9065/</t>
  </si>
  <si>
    <t>EX-EVT</t>
  </si>
  <si>
    <t>https://www.oek.wiwi.uni-due.de/studium-lehre/lehrveranstaltungen/wintersemester-1718/9064/</t>
  </si>
  <si>
    <t>Financial Mathematics</t>
  </si>
  <si>
    <t>Prof. Dr. Rüdiger Kiesel</t>
  </si>
  <si>
    <t>FM</t>
  </si>
  <si>
    <t xml:space="preserve">WS1718 abweichend: 
Mi 10:00 Uhr - 12:00 Uhr </t>
  </si>
  <si>
    <t>https://www.wiwi.uni-due.de/studium-lehre/informationen-zu-den-modulen/financial-mathematics-m674/</t>
  </si>
  <si>
    <t>DONNERSTAG</t>
  </si>
  <si>
    <t>Financial Risk Management</t>
  </si>
  <si>
    <t xml:space="preserve">WS1718 abweichend: 
Mi 16:00 Uhr - 18:00 Uhr </t>
  </si>
  <si>
    <t>https://www.wiwi.uni-due.de/studium-lehre/informationen-zu-den-modulen/financial-risk-management-m676/</t>
  </si>
  <si>
    <t>Inequality in Health</t>
  </si>
  <si>
    <t>IH</t>
  </si>
  <si>
    <t>https://www.wiwi.uni-due.de/studium-lehre/informationen-zu-den-modulen/inequality-in-health-m480/</t>
  </si>
  <si>
    <t>WS1617</t>
  </si>
  <si>
    <t>International Capital Movements</t>
  </si>
  <si>
    <t>Prof. Dr. Volker Clausen</t>
  </si>
  <si>
    <t>ICM</t>
  </si>
  <si>
    <t>EX-ICM</t>
  </si>
  <si>
    <t>Microeconometrics</t>
  </si>
  <si>
    <t>Prof. Dr. Reinhold Schnabel</t>
  </si>
  <si>
    <t>EX-MECMX-E</t>
  </si>
  <si>
    <t>Nonparametric Econometrics</t>
  </si>
  <si>
    <t>WS1516</t>
  </si>
  <si>
    <t>https://www.oek.wiwi.uni-due.de/studium-lehre/lehrveranstaltungen/wintersemester-1516/7498/</t>
  </si>
  <si>
    <t>https://www.oek.wiwi.uni-due.de/studium-lehre/lehrveranstaltungen/wintersemester-1516/7499/</t>
  </si>
  <si>
    <t>Portfolio Management</t>
  </si>
  <si>
    <t>PM</t>
  </si>
  <si>
    <t>Bisher einmalig angeboten</t>
  </si>
  <si>
    <t>deutsch/englisch</t>
  </si>
  <si>
    <t>EX-PM</t>
  </si>
  <si>
    <t>Quantitative Modelle internationaler Wirtschaftsbeziehungen</t>
  </si>
  <si>
    <t>QAIE</t>
  </si>
  <si>
    <t>https://www.wiwi.uni-due.de/studium-lehre/informationen-zu-den-modulen/quantitative-modelle-internationaler-wirtschaftsbeziehungen-m513/</t>
  </si>
  <si>
    <t>Quantitative Climate Finance</t>
  </si>
  <si>
    <t>QCF</t>
  </si>
  <si>
    <t xml:space="preserve">SS17 abweichend: 
Mo 16:00 Uhr - 18:00 Uhr </t>
  </si>
  <si>
    <t xml:space="preserve">SS17 abweichend: 
Di 10:00 Uhr - 12:00 Uhr </t>
  </si>
  <si>
    <t>Neuere Entwicklungen der Mikroökonomik</t>
  </si>
  <si>
    <t>Kolloquium</t>
  </si>
  <si>
    <t>tba</t>
  </si>
  <si>
    <t>WS/SS</t>
  </si>
  <si>
    <t>https://www.wiwi.uni-due.de/studium-lehre/informationen-zu-den-modulen/neuere-entwicklungen-der-mikrooekonomik-m161/</t>
  </si>
  <si>
    <t>Stichprobentheorie</t>
  </si>
  <si>
    <t>SS16</t>
  </si>
  <si>
    <t>https://campus.uni-due.de/lsf/rds?state=verpublish&amp;status=init&amp;vmfile=no&amp;publishid=261661&amp;moduleCall=webInfo&amp;publishConfFile=webInfo&amp;publishSubDir=veranstaltung</t>
  </si>
  <si>
    <t>https://campus.uni-due.de/lsf/rds?state=verpublish&amp;status=init&amp;vmfile=no&amp;publishid=260987&amp;moduleCall=webInfo&amp;publishConfFile=webInfo&amp;publishSubDir=veranstaltung</t>
  </si>
  <si>
    <t>Fachseminar Ökonometrische Methoden</t>
  </si>
  <si>
    <t>SECMM</t>
  </si>
  <si>
    <t>In WS1819:
Kickoff-Meeting 13.11.
10:00 Uhr - 12:00 Uhr
wird alle zwei Semester auf Masterniveau angeboten</t>
  </si>
  <si>
    <t>https://www.wiwi.uni-due.de/studium-lehre/informationen-zu-den-modulen/fachseminar-oekonometrische-methoden-m642/</t>
  </si>
  <si>
    <t>Fachseminar Soziale Sicherung und Besteuerung: Empirische Studien und eigene Projekte</t>
  </si>
  <si>
    <t>SSST</t>
  </si>
  <si>
    <t>In WS1819:
Kickoff-Meeting 10.10.
17:00 Uhr</t>
  </si>
  <si>
    <t>https://www.wiwi.uni-due.de/studium-lehre/informationen-zu-den-modulen/fachseminar-soziale-sicherung-und-besteuerung-empirische-studien-und-eigene-projekte-m597/</t>
  </si>
  <si>
    <t>Statistical Learning</t>
  </si>
  <si>
    <t>EX-SL</t>
  </si>
  <si>
    <t>Statistisches Seminar</t>
  </si>
  <si>
    <t>STATS</t>
  </si>
  <si>
    <t>In SS18:
Kickoff-Meeting 18.04.
16:30 Uhr,
Seminar 17./24.06.
10:00 Uhr - 19:00 Uhr</t>
  </si>
  <si>
    <t>Stock Market Anomalies and Quantitative Trading Strategies</t>
  </si>
  <si>
    <t>Vorlesung mit integriertem Seminar</t>
  </si>
  <si>
    <t>Prof. Dr. Heiko Jacobs</t>
  </si>
  <si>
    <t>SMAQTS</t>
  </si>
  <si>
    <t>Advanced Business Cycle Analysis</t>
  </si>
  <si>
    <t>Applied Economics III</t>
  </si>
  <si>
    <t>Prof. Dr. Ludger Linnemann</t>
  </si>
  <si>
    <t>ABCA</t>
  </si>
  <si>
    <t>Dortmund</t>
  </si>
  <si>
    <t>14:00</t>
  </si>
  <si>
    <t>18:00</t>
  </si>
  <si>
    <t>http://www.wiwi.tu-dortmund.de/wiwi/ae/de/lehre/veranstalt/sose/abc/index.html</t>
  </si>
  <si>
    <t>Advanced Econometrics</t>
  </si>
  <si>
    <t>AE</t>
  </si>
  <si>
    <t>DIENSTAG
MITTWOCH</t>
  </si>
  <si>
    <t>10:00
12:00</t>
  </si>
  <si>
    <t xml:space="preserve">12:00
14:00
</t>
  </si>
  <si>
    <t>https://www.statistik.tu-dortmund.de/fileadmin/user_upload/Studium/Vorlesungsverzeichnis/WS2017_18/Kommentierte_VVZ/Wagner_Komm._Verz._WS_2017_-_Advanced_Econometrics-1.pdf</t>
  </si>
  <si>
    <t>16:00</t>
  </si>
  <si>
    <t>Applied Macroeconometrics</t>
  </si>
  <si>
    <t>Applied Economics II</t>
  </si>
  <si>
    <t>AM</t>
  </si>
  <si>
    <t>10:00</t>
  </si>
  <si>
    <t>12:00</t>
  </si>
  <si>
    <t>http://www.wiwi.tu-dortmund.de/wiwi/ae/de/lehre/veranstalt/sose/am/index.html</t>
  </si>
  <si>
    <t>Applied Monetary Economics</t>
  </si>
  <si>
    <t>Applied Economics I</t>
  </si>
  <si>
    <t>12:30</t>
  </si>
  <si>
    <t>Veranstaltung im WiWi-Modul "Applied Economics I"</t>
  </si>
  <si>
    <t>http://www.wiwi.tu-dortmund.de/wiwi/ae/de/lehre/veranstalt/ws/ame/index.html</t>
  </si>
  <si>
    <t>Finance I</t>
  </si>
  <si>
    <t>Prof. Dr. Peter N. Posch</t>
  </si>
  <si>
    <t>AQF</t>
  </si>
  <si>
    <t>8:30</t>
  </si>
  <si>
    <t>Auctions: Theory, Applications and Experiments</t>
  </si>
  <si>
    <t>Mikroökonomie II</t>
  </si>
  <si>
    <t>Prof. Dr. Wolfgang Leininger</t>
  </si>
  <si>
    <t>Verantaltung im WiWi-Modul "Mikroökonomie II"</t>
  </si>
  <si>
    <t>http://www.wiwi.tu-dortmund.de/wiwi/de/studium/studiengaenge/wiwi-master-2015/ma-wiwi-2015-modulhandbuch-neu.pdf#page=82</t>
  </si>
  <si>
    <t>Bayes-Statistik</t>
  </si>
  <si>
    <t>Prof Dr. Katja Ickstadt</t>
  </si>
  <si>
    <t>https://www.statistik.tu-dortmund.de/biometrie-lehre.html</t>
  </si>
  <si>
    <t>https://www.statistik.tu-dortmund.de/fileadmin/user_upload/Studium/Vorlesungsverzeichnis/SS2017/Kommentierte_VVZ/KommentiertesVVZ__Blockkurs_Fermin.pdf</t>
  </si>
  <si>
    <t>8:00</t>
  </si>
  <si>
    <t>jweiels alternative Termine</t>
  </si>
  <si>
    <t>Dynamic Macroeconomics</t>
  </si>
  <si>
    <t>Makroökonomie IV</t>
  </si>
  <si>
    <t>Prof. Dr. Philip Jung</t>
  </si>
  <si>
    <t>DM</t>
  </si>
  <si>
    <t>Veranstaltung im Modul "Makroökonomie IV"</t>
  </si>
  <si>
    <t>EX-DM</t>
  </si>
  <si>
    <t>Econometrics</t>
  </si>
  <si>
    <t>ECMX</t>
  </si>
  <si>
    <t>Economics of Information</t>
  </si>
  <si>
    <t>EI</t>
  </si>
  <si>
    <t>Vorlesung im WiWi-Modul "Mikroökonomie II"</t>
  </si>
  <si>
    <t>FSII</t>
  </si>
  <si>
    <t>SS/WS</t>
  </si>
  <si>
    <t>Financial Econometrics</t>
  </si>
  <si>
    <t>Finance III</t>
  </si>
  <si>
    <t>Veranstaltung im WiWi-Modul "Finance III"
WS1718 abweichend: Mo 08:00 - 10:00
bzw. Übung DI 10:00 -12:00</t>
  </si>
  <si>
    <t>FE</t>
  </si>
  <si>
    <t>Game Theory</t>
  </si>
  <si>
    <t>Mikroökonomie IV</t>
  </si>
  <si>
    <t>http://www.wiwi.tu-dortmund.de/wiwi/mik/de/lehre/veranstalt/ws_18_19/Game-Theory/index.html</t>
  </si>
  <si>
    <t>Maschinelles Lernen</t>
  </si>
  <si>
    <t>Prof. Dr. Katharina Morik
Prof. Dr. Erich Schubert</t>
  </si>
  <si>
    <t>Neue Veranstaltung</t>
  </si>
  <si>
    <t>Microeconometrics and Empirical Applications</t>
  </si>
  <si>
    <t>Wirtschaftspolitik II</t>
  </si>
  <si>
    <t>Prof. Dr. Kornelius Kraft</t>
  </si>
  <si>
    <t>MECMXEA</t>
  </si>
  <si>
    <t>EX-MECMXEA</t>
  </si>
  <si>
    <t>Reserach Topics in Finance, Risk- and Resourcemanagement</t>
  </si>
  <si>
    <t>Finance V</t>
  </si>
  <si>
    <t>RTFRRM</t>
  </si>
  <si>
    <t>Veranstaltung im WiWi-Modul "Finance V"
In SS17 abweichend: 
Mo 16:00 Uhr - 18:00 Uhr</t>
  </si>
  <si>
    <t>Robuste Statistik</t>
  </si>
  <si>
    <t>Prof. Dr. Christine Müller</t>
  </si>
  <si>
    <t>https://www.statistik.tu-dortmund.de/fileadmin/user_upload/Studium/Vorlesungsverzeichnis/SS2017/Kommentierte_VVZ/KommVVZ_2017_Robuste_Statistik.pdf</t>
  </si>
  <si>
    <t>Seminar in Economic Theory I</t>
  </si>
  <si>
    <t>SETI</t>
  </si>
  <si>
    <t>Sequentielle Verfahren</t>
  </si>
  <si>
    <t>Stochastische Prozesse</t>
  </si>
  <si>
    <t>Prof. Dr. Roland Fried</t>
  </si>
  <si>
    <t>SP</t>
  </si>
  <si>
    <t>https://www.statistik.tu-dortmund.de/fileadmin/user_upload/Studium/Studiengaenge-Infos/Modulhandbuch-Master-Statistik_02.pdf#page=8</t>
  </si>
  <si>
    <t>EX-SP</t>
  </si>
  <si>
    <t>https://www.lsf.tu-dortmund.de/qisserver/rds?state=verpublish&amp;status=init&amp;vmfile=no&amp;publishid=182545&amp;moduleCall=webInfo&amp;publishConfFile=webInfo&amp;publishSubDir=veranstaltung</t>
  </si>
  <si>
    <t>Time Series Analysis</t>
  </si>
  <si>
    <t>https://www.statistik.tu-dortmund.de/fileadmin/user_upload/Studium/Vorlesungsverzeichnis/WS2017_18/Kommentierte_VVZ/Komm_Vorlesungsverzeichnis__WS_2017_18_Zeitreihen.pdf</t>
  </si>
  <si>
    <t>Unit Root and Cointegration Analysis</t>
  </si>
  <si>
    <t>URCA</t>
  </si>
  <si>
    <t>24.09 - 28.09
ab 10:00</t>
  </si>
  <si>
    <t>Block in SS18</t>
  </si>
  <si>
    <t>http://www.statistik.uni-dortmund.de/unitroot.html</t>
  </si>
  <si>
    <t>https://www.lsf.tu-dortmund.de/qisserver/rds?state=verpublish&amp;status=init&amp;vmfile=no&amp;publishid=201920&amp;moduleCall=webInfo&amp;publishConfFile=webInfo&amp;publishSubDir=veranstaltung</t>
  </si>
  <si>
    <t>Wissensentdeckung in Datenbanken</t>
  </si>
  <si>
    <t>ZOEK</t>
  </si>
  <si>
    <t>Applied Time Series Analysis</t>
  </si>
  <si>
    <t>Prof. Dr. Vasyl Golosnoy</t>
  </si>
  <si>
    <t>Bochum</t>
  </si>
  <si>
    <t>Abweichend in SS17: 
Di 14:00 Uhr - 16:00 Uhr</t>
  </si>
  <si>
    <t>Current Topics in Health Economics</t>
  </si>
  <si>
    <t>Prof Dr. Ansgar Wübker</t>
  </si>
  <si>
    <t>CTHE</t>
  </si>
  <si>
    <t>Data Analysis Using Stata</t>
  </si>
  <si>
    <t>Prof. Dr. Thomas K. Bauer</t>
  </si>
  <si>
    <t>Econometric Evaluation of Economic Policies</t>
  </si>
  <si>
    <t>15:30</t>
  </si>
  <si>
    <t>Auch in WS1718: 
Fr 14:00 Uhr - 16:00 Uhr</t>
  </si>
  <si>
    <t>EX-FECMX-B</t>
  </si>
  <si>
    <t>Public Economics</t>
  </si>
  <si>
    <t>Seminar in Applied Economic Policy</t>
  </si>
  <si>
    <t>Prof. Dr. Christoph M. Schmidt</t>
  </si>
  <si>
    <t>SAEP</t>
  </si>
  <si>
    <t>Seminar in Econometrics</t>
  </si>
  <si>
    <t>SECMX</t>
  </si>
  <si>
    <t>Seminar in Microeconometrics</t>
  </si>
  <si>
    <t>Seminar on Health Economics and Health Policy: Population Ageing and its Challenges for Health Systems</t>
  </si>
  <si>
    <t>Prof. Dr. Ansgar Wübker</t>
  </si>
  <si>
    <t>SHEHP</t>
  </si>
  <si>
    <t>Multivariate Statistical Methods</t>
  </si>
  <si>
    <t>https://www.goek.wiwi.uni-due.de/studium-lehre/lehrveranstaltungen/sommersemester-19/10840/</t>
  </si>
  <si>
    <t>https://www.goek.wiwi.uni-due.de/studium-lehre/lehrveranstaltungen/sommersemester-19/10839/</t>
  </si>
  <si>
    <t>Statistical Theory: Probability Theory</t>
  </si>
  <si>
    <t>Statistical Theory: Asymptotic Theory</t>
  </si>
  <si>
    <t>Statistical Theory:
 Decision Theory</t>
  </si>
  <si>
    <t>Prof. Dr. Marie Paul</t>
  </si>
  <si>
    <t>SS19</t>
  </si>
  <si>
    <t>Mikroökonometrie / Microeconometrics</t>
  </si>
  <si>
    <t>Case Studies</t>
  </si>
  <si>
    <t>Quantitative Finance</t>
  </si>
  <si>
    <t>ME6 (Applied Econometrics)</t>
  </si>
  <si>
    <t>ME7 (Econometric Methods)</t>
  </si>
  <si>
    <t>ME5 (Economics)</t>
  </si>
  <si>
    <t>ME1a</t>
  </si>
  <si>
    <t>ME1b</t>
  </si>
  <si>
    <t>ME1c</t>
  </si>
  <si>
    <t>ME2</t>
  </si>
  <si>
    <t>ME3</t>
  </si>
  <si>
    <t>ME4</t>
  </si>
  <si>
    <t xml:space="preserve">MHB </t>
  </si>
  <si>
    <t>Bochum/RGS</t>
  </si>
  <si>
    <t>MSM/RGS</t>
  </si>
  <si>
    <t>Statistical Modelling of Extremes</t>
  </si>
  <si>
    <t>Practising Econometric Research</t>
  </si>
  <si>
    <t>PER</t>
  </si>
  <si>
    <t>WS1920</t>
  </si>
  <si>
    <t>Advanced R for Econometricians</t>
  </si>
  <si>
    <t>ARE</t>
  </si>
  <si>
    <t>https://www.oek.wiwi.uni-due.de/studium-lehre/lehrveranstaltungen/wintersemester-1920/11648/</t>
  </si>
  <si>
    <t>https://www.mikro.wiwi.uni-due.de/studium-lehre/veranstaltungsuebersicht/wintersemester-1920/11076/</t>
  </si>
  <si>
    <t>https://www.fiwi.wiwi.uni-due.de/studium-lehre/lehrveranstaltungen/wintersemester-1920/11621/</t>
  </si>
  <si>
    <t>Kickoff-Meeting am 21.10.2019</t>
  </si>
  <si>
    <t>aktuell_angeboten</t>
  </si>
  <si>
    <t>Link_aktuelle_Veranstaltungsuebersicht</t>
  </si>
  <si>
    <t>yes</t>
  </si>
  <si>
    <t>no</t>
  </si>
  <si>
    <t>https://www.oek.wiwi.uni-due.de/studium-lehre/lehrveranstaltungen/wintersemester-1920/11312/</t>
  </si>
  <si>
    <t>https://www.oek.wiwi.uni-due.de/studium-lehre/lehrveranstaltungen/wintersemester-1920/11311/</t>
  </si>
  <si>
    <t>https://www.statistik.tu-dortmund.de/advecx-17181.html</t>
  </si>
  <si>
    <t>08:30:00</t>
  </si>
  <si>
    <t>Jun.-Prof. Dr. Lars Metzger</t>
  </si>
  <si>
    <t>https://www.lsf.tu-dortmund.de/qisserver/rds?state=verpublish&amp;status=init&amp;vmfile=no&amp;publishid=214260&amp;moduleCall=webInfo&amp;publishConfFile=webInfo&amp;publishSubDir=veranstaltung#basicdata</t>
  </si>
  <si>
    <t>https://www.lsf.tu-dortmund.de/qisserver/rds?state=verpublish&amp;status=init&amp;vmfile=no&amp;publishid=214257&amp;moduleCall=webInfo&amp;publishConfFile=webInfo&amp;publishSubDir=veranstaltung</t>
  </si>
  <si>
    <t>ML</t>
  </si>
  <si>
    <t>EX-ML</t>
  </si>
  <si>
    <t>ST:PT</t>
  </si>
  <si>
    <t>ST:DT</t>
  </si>
  <si>
    <t>ST:AT</t>
  </si>
  <si>
    <t>Statistical Theory</t>
  </si>
  <si>
    <t>Advanced Topics in Econometric Methods</t>
  </si>
  <si>
    <t>RS</t>
  </si>
  <si>
    <t>EX-RS</t>
  </si>
  <si>
    <t>https://www.lsf.tu-dortmund.de/qisserver/rds?state=verpublish&amp;status=init&amp;vmfile=no&amp;publishid=205908&amp;moduleCall=webInfo&amp;publishConfFile=webInfo&amp;publishSubDir=veranstaltung</t>
  </si>
  <si>
    <t>https://www.lsf.tu-dortmund.de/qisserver/rds?state=verpublish&amp;status=init&amp;vmfile=no&amp;publishid=205909&amp;moduleCall=webInfo&amp;publishConfFile=webInfo&amp;publishSubDir=veranstaltung</t>
  </si>
  <si>
    <t>https://www.lsf.tu-dortmund.de/qisserver/rds?state=verpublish&amp;status=init&amp;vmfile=no&amp;publishid=214253&amp;moduleCall=webInfo&amp;publishConfFile=webInfo&amp;publishSubDir=veranstaltung</t>
  </si>
  <si>
    <t>2. wöchentlich</t>
  </si>
  <si>
    <t>https://www.lsf.tu-dortmund.de/qisserver/rds?state=verpublish&amp;status=init&amp;vmfile=no&amp;publishid=205961&amp;moduleCall=webInfo&amp;publishConfFile=webInfo&amp;publishSubDir=veranstaltung</t>
  </si>
  <si>
    <t>https://www.lsf.tu-dortmund.de/qisserver/rds?state=verpublish&amp;status=init&amp;vmfile=no&amp;publishid=213137&amp;moduleCall=webInfo&amp;publishConfFile=webInfo&amp;publishSubDir=veranstaltung</t>
  </si>
  <si>
    <t>https://www.lsf.tu-dortmund.de/qisserver/rds?state=verpublish&amp;status=init&amp;vmfile=no&amp;publishid=205959&amp;moduleCall=webInfo&amp;publishConfFile=webInfo&amp;publishSubDir=veranstaltung</t>
  </si>
  <si>
    <t>https://www.lsf.tu-dortmund.de/qisserver/rds?state=verpublish&amp;status=init&amp;vmfile=no&amp;publishid=205958&amp;moduleCall=webInfo&amp;publishConfFile=webInfo&amp;publishSubDir=veranstaltung</t>
  </si>
  <si>
    <t>WDB</t>
  </si>
  <si>
    <t>EX-WDB</t>
  </si>
  <si>
    <t>https://www.lsf.tu-dortmund.de/qisserver/rds?state=verpublish&amp;status=init&amp;vmfile=no&amp;publishid=216376&amp;moduleCall=webInfo&amp;publishConfFile=webInfo&amp;publishSubDir=veranstaltung</t>
  </si>
  <si>
    <t>In SS19:
Kick-Off Meeting: 18.04.2019; Seminar: 27.06. - 28.06.2018; 9 am - 5 pm RWI Essen</t>
  </si>
  <si>
    <t>http://www.wiwi.ruhr-uni-bochum.de/mam/content/dekanat/modulhandbuch__master_-wise_2018_19_21.08.2018.pdf#page=77</t>
  </si>
  <si>
    <t>Kein Lehrangebot im WS1920</t>
  </si>
  <si>
    <t>2-wöchentlich</t>
  </si>
  <si>
    <t>In WS1920:
Kickoff-Metting Fr. 18.10
10:00 Uhr</t>
  </si>
  <si>
    <t>https://vvz.ruhr-uni-bochum.de/campus/all/event.asp?gguid=0xDA5AE524C2A74B25B0225B169340803C&amp;from=&amp;tabID=1&amp;tguid=0xF13C2A4A39064F2295BE2AE837945F8E&amp;objgguid=NEW&amp;lang=de</t>
  </si>
  <si>
    <t>In WS1920
Kickoff-Meeting am 17.10.2019
Blockveranst.09.-10.01.2020 9-17 Uhr , RWI</t>
  </si>
  <si>
    <t>Jun.-Prof. Dr. Florian Ziel</t>
  </si>
  <si>
    <t>course</t>
  </si>
  <si>
    <t>module</t>
  </si>
  <si>
    <t>language</t>
  </si>
  <si>
    <t>section</t>
  </si>
  <si>
    <t>offered in winter 19</t>
  </si>
  <si>
    <t>Neuere Entwicklungen der Ökonometrie</t>
  </si>
  <si>
    <t>ECMTX-E</t>
  </si>
  <si>
    <t>Gelesen von Dr. Paul Navas Alban</t>
  </si>
  <si>
    <t>SS20</t>
  </si>
  <si>
    <t>https://www.wiwi.uni-due.de/studium/informationen-zu-den-modulen/neuere-entwicklungen-der-oekonometrie-m163/</t>
  </si>
  <si>
    <t>ECMTX-E-EX</t>
  </si>
  <si>
    <t>Seminar in Econometrics (Zeitreihenökonometrie)</t>
  </si>
  <si>
    <t>Generalisierte Lineare Modelle</t>
  </si>
  <si>
    <t>GLM</t>
  </si>
  <si>
    <t>https://www.lsf.tu-dortmund.de/qisserver/rds?state=verpublish&amp;status=init&amp;vmfile=no&amp;publishid=216380&amp;moduleCall=webInfo&amp;publishConfFile=webInfo&amp;publishSubDir=veranstaltung</t>
  </si>
  <si>
    <t>Prof. Dr. Andreas Groll</t>
  </si>
  <si>
    <t>GLM-EX</t>
  </si>
  <si>
    <t>Advanced Statistical Learning</t>
  </si>
  <si>
    <t>ASL</t>
  </si>
  <si>
    <t>ASL-EX</t>
  </si>
  <si>
    <t>Netzwerkanalyse</t>
  </si>
  <si>
    <t>NWA</t>
  </si>
  <si>
    <t>https://www.lsf.tu-dortmund.de/qisserver/rds?state=verpublish&amp;status=init&amp;vmfile=no&amp;publishid=216373&amp;moduleCall=webInfo&amp;publishConfFile=webInfo&amp;publishSubDir=veranstaltung</t>
  </si>
  <si>
    <t>NWA-EX</t>
  </si>
  <si>
    <t>Statistik extremer Risiken</t>
  </si>
  <si>
    <t>SER</t>
  </si>
  <si>
    <t>https://www.lsf.tu-dortmund.de/qisserver/rds?state=verpublish&amp;status=init&amp;vmfile=no&amp;publishid=216369&amp;moduleCall=webInfo&amp;publishConfFile=webInfo&amp;publishSubDir=veranstaltung</t>
  </si>
  <si>
    <t>SER-EX</t>
  </si>
  <si>
    <t>https://www.lsf.tu-dortmund.de/qisserver/rds?state=verpublish&amp;status=init&amp;vmfile=no&amp;publishid=218416&amp;moduleCall=webInfo&amp;publishConfFile=webInfo&amp;publishSubDir=veranstaltung</t>
  </si>
  <si>
    <t>Block in WS18</t>
  </si>
  <si>
    <t>https://www.wiwi.uni-due.de/studium/informationen-zu-den-modulen/advanced-r-for-econometricians-m887/</t>
  </si>
  <si>
    <t>Block in SS19</t>
  </si>
  <si>
    <t>Einzeltermine in SS19</t>
  </si>
  <si>
    <t>https://www.lsf.tu-dortmund.de/qisserver/rds?state=verpublish&amp;status=init&amp;vmfile=no&amp;publishid=225221&amp;moduleCall=webInfo&amp;publishConfFile=webInfo&amp;publishSubDir=veranstaltung</t>
  </si>
  <si>
    <t>https://www.lsf.tu-dortmund.de/qisserver/rds?state=verpublish&amp;status=init&amp;vmfile=no&amp;publishid=225216&amp;moduleCall=webInfo&amp;publishConfFile=webInfo&amp;publishSubDir=veranstaltung</t>
  </si>
  <si>
    <t>https://www.lsf.tu-dortmund.de/qisserver/rds?state=verpublish&amp;status=init&amp;vmfile=no&amp;publishid=225159&amp;moduleCall=webInfo&amp;publishConfFile=webInfo&amp;publishSubDir=veranstaltung</t>
  </si>
  <si>
    <t>https://www.lsf.tu-dortmund.de/qisserver/rds?state=verpublish&amp;status=init&amp;vmfile=no&amp;publishid=224693&amp;moduleCall=webInfo&amp;publishConfFile=webInfo&amp;publishSubDir=veranstaltung</t>
  </si>
  <si>
    <t>https://www.lsf.tu-dortmund.de/qisserver/rds?state=verpublish&amp;status=init&amp;vmfile=no&amp;publishid=224694&amp;moduleCall=webInfo&amp;publishConfFile=webInfo&amp;publishSubDir=veranstaltung</t>
  </si>
  <si>
    <t>https://www.stat.wiwi.uni-due.de/studium-lehre/lehrveranstaltungen/wintersemester-20-21/12404/</t>
  </si>
  <si>
    <t>https://www.mikro.wiwi.uni-due.de/studium-lehre/veranstaltungsuebersicht/wintersemester-20-21/12713/</t>
  </si>
  <si>
    <t>https://www.mikro.wiwi.uni-due.de/studium-lehre/veranstaltungsuebersicht/wintersemester-20-21/12712/</t>
  </si>
  <si>
    <t>https://www.oek.wiwi.uni-due.de/studium-lehre/lehrveranstaltungen/wintersemester-20-21/11972/</t>
  </si>
  <si>
    <t>https://www.lsf.tu-dortmund.de/qisserver/rds?state=verpublish&amp;status=init&amp;vmfile=no&amp;publishid=225007&amp;moduleCall=webInfo&amp;publishConfFile=webInfo&amp;publishSubDir=veranstaltung</t>
  </si>
  <si>
    <t>https://www.lef.wiwi.uni-due.de/studium-lehre/lehrveranstaltungen/wintersemester-20-21/fm-12674/</t>
  </si>
  <si>
    <t>https://www.lef.wiwi.uni-due.de/studium-lehre/lehrveranstaltungen/wintersemester-20-21/fm-12673/</t>
  </si>
  <si>
    <t>https://www.lef.wiwi.uni-due.de/studium-lehre/lehrveranstaltungen/wintersemester-20-21/frm-12677/</t>
  </si>
  <si>
    <t>https://www.lef.wiwi.uni-due.de/studium-lehre/lehrveranstaltungen/wintersemester-20-21/frm-12676/</t>
  </si>
  <si>
    <t>https://www.goek.wiwi.uni-due.de/studium-lehre/lehrveranstaltungen/wintersemester-20-21/12551/</t>
  </si>
  <si>
    <t>https://www.goek.wiwi.uni-due.de/studium-lehre/lehrveranstaltungen/wintersemester-20-21/12550/</t>
  </si>
  <si>
    <t>https://www.lsf.tu-dortmund.de/qisserver/rds?state=verpublish&amp;status=init&amp;vmfile=no&amp;publishid=227007&amp;moduleCall=webInfo&amp;publishConfFile=webInfo&amp;publishSubDir=veranstaltung</t>
  </si>
  <si>
    <t>https://www.lsf.tu-dortmund.de/qisserver/rds?state=verpublish&amp;status=init&amp;vmfile=no&amp;publishid=227009&amp;moduleCall=webInfo&amp;publishConfFile=webInfo&amp;publishSubDir=veranstaltung</t>
  </si>
  <si>
    <t>https://www.lsf.tu-dortmund.de/qisserver/rds?state=wsearchv&amp;search=1&amp;subdir=veranstaltung&amp;alias_pord.pordnr=r_zuordpos.pordnr&amp;veranstaltung.dtxt=Microeconometrics+and+Empirical+Applications&amp;veranstaltung.semester=20202&amp;alias_pord.pordnr=r_zuordpos.pordnr&amp;P_start=0&amp;P_anzahl=10&amp;P.sort=&amp;_form=display</t>
  </si>
  <si>
    <t>https://www.oek.wiwi.uni-due.de/studium-lehre/lehrveranstaltungen/wintersemester-20-21/11976/</t>
  </si>
  <si>
    <t>https://www.oek.wiwi.uni-due.de/studium-lehre/lehrveranstaltungen/wintersemester-20-21/11975/</t>
  </si>
  <si>
    <t>https://www.iwb.wiwi.uni-due.de/studium-lehre/lehrveranstaltungen/wintersemester-20-21/qm-iwb-12421/</t>
  </si>
  <si>
    <t>https://www.iwb.wiwi.uni-due.de/studium-lehre/lehrveranstaltungen/wintersemester-20-21/qm-iwb-ue-12420/</t>
  </si>
  <si>
    <t>https://www.lsf.tu-dortmund.de/qisserver/rds?state=verpublish&amp;status=init&amp;vmfile=no&amp;publishid=224780&amp;moduleCall=webInfo&amp;publishConfFile=webInfo&amp;publishSubDir=veranstaltung</t>
  </si>
  <si>
    <t>Offered by</t>
  </si>
  <si>
    <t>Link Lehrstuhl</t>
  </si>
  <si>
    <t>Applied Economics</t>
  </si>
  <si>
    <t>https://www.wiwi2.tu-dortmund.de/wiwi/ae/de/lehrstuhl/</t>
  </si>
  <si>
    <t>Ökonometrie und Statistik</t>
  </si>
  <si>
    <t>https://www.statistik.tu-dortmund.de/oekonometrie.html</t>
  </si>
  <si>
    <t>Chair of Environmental Economics,
 esp. Economics of Renewable Energy</t>
  </si>
  <si>
    <t>https://www.oek.wiwi.uni-due.de/</t>
  </si>
  <si>
    <t>Ökonometrie</t>
  </si>
  <si>
    <t>Dr. Philipp Adämmer</t>
  </si>
  <si>
    <t>Statistical Methods for Big Data</t>
  </si>
  <si>
    <t>https://www.statistik.tu-dortmund.de/bigdata.html</t>
  </si>
  <si>
    <t> Quantitative Analyse (Statistik/Ökonometrie)</t>
  </si>
  <si>
    <t>https://www.wiwi.ruhr-uni-bochum.de/statoek/index.html.de</t>
  </si>
  <si>
    <t>Mathematische Statistik und biometrische Anwendungen</t>
  </si>
  <si>
    <t>https://www.statistik.tu-dortmund.de/biometrie.html</t>
  </si>
  <si>
    <t>https://www.statistik.tu-dortmund.de/ingenieurswissenschaften.html</t>
  </si>
  <si>
    <t>Statistik mit Anwendungen im Bereich der Ingenieurwissenschaften</t>
  </si>
  <si>
    <t>https://www.goek.wiwi.uni-due.de/startseite/</t>
  </si>
  <si>
    <t>Lehrstuhl für VWL, insb. Gesundheitsökonomik</t>
  </si>
  <si>
    <t>Apl.-Professur für Health Economics</t>
  </si>
  <si>
    <t>https://www.wiwi.ruhr-uni-bochum.de/health/index.html.de</t>
  </si>
  <si>
    <t>Makroökonomie</t>
  </si>
  <si>
    <t>https://www.wiwi2.tu-dortmund.de/wiwi/mak/de/lehrstuhl/index.html</t>
  </si>
  <si>
    <t>https://www.wiwi.ruhr-uni-bochum.de/empwifo/index.html.en</t>
  </si>
  <si>
    <t>Wirtschafts- und Sozialstatistik</t>
  </si>
  <si>
    <t>https://www.statistik.tu-dortmund.de/iwus.html</t>
  </si>
  <si>
    <t>Lehrstuhl für Quantitative Methoden in den Wirtschaftswissenschaften</t>
  </si>
  <si>
    <t>https://www.qmw.msm.uni-due.de/startseite/</t>
  </si>
  <si>
    <t>Juniorprofessur Volkswirtschaftslehre 1</t>
  </si>
  <si>
    <t>Statistik</t>
  </si>
  <si>
    <t>https://www.stat.wiwi.uni-due.de/</t>
  </si>
  <si>
    <t>https://www.mikro.wiwi.uni-due.de/</t>
  </si>
  <si>
    <t>Mikroökonomik</t>
  </si>
  <si>
    <t>Lehrstuhl für VWL, insb. Finanzwissenschaften</t>
  </si>
  <si>
    <t>https://www.fiwi.wiwi.uni-due.de/</t>
  </si>
  <si>
    <t>Professur Finance</t>
  </si>
  <si>
    <t>https://finance.wiwi.tu-dortmund.de/</t>
  </si>
  <si>
    <t>Lehrstuhl für Energiehandel und Finanzdienstleistungen</t>
  </si>
  <si>
    <t>https://www.lef.wiwi.uni-due.de/</t>
  </si>
  <si>
    <t>Lehrstuhl für VWL, insb. Internationale Wirtschaftsbeziehungen</t>
  </si>
  <si>
    <t>https://www.iwb.wiwi.uni-due.de/</t>
  </si>
  <si>
    <t>https://www-ai.cs.tu-dortmund.de/index.html</t>
  </si>
  <si>
    <t>Lehrstuhl für Künstliche Intelligenz</t>
  </si>
  <si>
    <t> Lehrstuhl für Wirtschaftspolitik </t>
  </si>
  <si>
    <t>https://www.wiwi2.tu-dortmund.de/wiwi/wp/de/lehrstuhl/index.html</t>
  </si>
  <si>
    <t>Lehrstuhl für Wirtschaftspolitik und angewandte Ökonometrie</t>
  </si>
  <si>
    <t>https://www.wiwi.ruhr-uni-bochum.de/wipooek/index.html.de</t>
  </si>
  <si>
    <t>Empirical Economics</t>
  </si>
  <si>
    <t>Statistik in den Biowissenschaften</t>
  </si>
  <si>
    <t>Lehrstuhl für Finanzierung</t>
  </si>
  <si>
    <r>
      <rPr>
        <b/>
        <sz val="11"/>
        <color rgb="FF9C0006"/>
        <rFont val="Verdana"/>
        <family val="2"/>
        <charset val="1"/>
      </rPr>
      <t xml:space="preserve">Veranstaltung im WiWi-Modul "Finance I"
SS17 abweichend: 12:00 Uhr - 14:00 Uhr 
SS18: </t>
    </r>
    <r>
      <rPr>
        <b/>
        <strike/>
        <sz val="11"/>
        <color rgb="FF9C0006"/>
        <rFont val="Verdana (Body)"/>
        <charset val="1"/>
      </rPr>
      <t>Applied</t>
    </r>
  </si>
  <si>
    <t>17:00</t>
  </si>
  <si>
    <t>WS2021</t>
  </si>
  <si>
    <t>https://www.fin.wiwi.uni-due.de/</t>
  </si>
  <si>
    <t>Dr. Bodo Knoll</t>
  </si>
  <si>
    <t>Finanzwissenschaft und Wirtschaftspolitik</t>
  </si>
  <si>
    <t>https://www.wiwi.ruhr-uni-bochum.de/fiwipo/index.html.de</t>
  </si>
  <si>
    <t>https://www.statistik.tu-dortmund.de/wissen.html</t>
  </si>
  <si>
    <t>Dr. Uwe Ligges</t>
  </si>
  <si>
    <t>https://www.uee.wiwi.uni-due.de/studium-lehre/sommersemester-20/12211/</t>
  </si>
  <si>
    <t>WS1929</t>
  </si>
  <si>
    <t>https://www.uee.wiwi.uni-due.de/studium-lehre/sommersemester-20/12213/</t>
  </si>
  <si>
    <t>https://www.uee.wiwi.uni-due.de/studium-lehre/sommersemester-20/12218/</t>
  </si>
  <si>
    <t>Prof. Dr. Carsten Jentsch</t>
  </si>
  <si>
    <t>https://www.wiwi.ruhr-uni-bochum.de/mam/content/dekanat/master_mhb_12.11.2020.pdf#page=139</t>
  </si>
  <si>
    <t>https://www.wiwi.ruhr-uni-bochum.de/mam/content/dekanat/master_mhb_12.11.2020.pdf#page=141</t>
  </si>
  <si>
    <t>https://www.wiwi.ruhr-uni-bochum.de/mam/content/dekanat/master_mhb_12.11.2020.pdf#page=143</t>
  </si>
  <si>
    <t>https://www.wiwi.ruhr-uni-bochum.de/mam/content/dekanat/master_mhb_12.11.2020.pdf#page=110</t>
  </si>
  <si>
    <t>https://www.wiwi.ruhr-uni-bochum.de/mam/content/dekanat/master_mhb_12.11.2020.pdf#page=112</t>
  </si>
  <si>
    <t>https://www.wiwi.ruhr-uni-bochum.de/mam/content/dekanat/master_mhb_12.11.2020.pdf#page=127</t>
  </si>
  <si>
    <t>https://www.wiwi.ruhr-uni-bochum.de/mam/content/dekanat/master_mhb_12.11.2020.pdf#page=129</t>
  </si>
  <si>
    <t>https://www.wiwi.ruhr-uni-bochum.de/mam/content/dekanat/master_mhb_12.11.2020.pdf#page=434</t>
  </si>
  <si>
    <t>https://www.wiwi.ruhr-uni-bochum.de/mam/content/dekanat/master_mhb_12.11.2020.pdf#page=438</t>
  </si>
  <si>
    <t>https://www.wiwi.ruhr-uni-bochum.de/mam/content/dekanat/master_mhb_12.11.2020.pdf#page=440</t>
  </si>
  <si>
    <t>https://www.wiwi.ruhr-uni-bochum.de/mam/content/dekanat/master_mhb_12.11.2020.pdf#page=442</t>
  </si>
  <si>
    <t>https://www.wiwi.uni-due.de/studium/informationen-zu-den-modulen/empirische-methoden-508/</t>
  </si>
  <si>
    <t>https://www.wiwi.uni-due.de/studium/informationen-zu-den-modulen/practising-econometric-research-889/</t>
  </si>
  <si>
    <t>https://bscw.uaruhr.de/pub/bscw.cgi/262215/teaching.html</t>
  </si>
  <si>
    <t>VWL (Mikroökonomie)</t>
  </si>
  <si>
    <t>https://www.wiwi2.tu-dortmund.de/wiwi/mik/de/lehrstuhl/index.html</t>
  </si>
  <si>
    <t>https://vvz.ruhr-uni-bochum.de/campus/all/event.asp?objgguid=NEW&amp;from=&amp;gguid=0xE8E555FEBFD14A8092DE2B55E7F8A524&amp;mode=&amp;tguid=0x80B5E42E2E744540BF79A272358D1095&amp;lang=de</t>
  </si>
  <si>
    <t>https://vvz.ruhr-uni-bochum.de/campus/all/event.asp?gguid=0x2133DD1B5E6F404198A0D2B9CF0576CB&amp;from=vvz&amp;mode=own&amp;tabID=1&amp;tguid=0xF13C2A4A39064F2295BE2AE837945F8E&amp;objgguid=NEW&amp;lang=de</t>
  </si>
  <si>
    <t>https://vvz.ruhr-uni-bochum.de/campus/all/event.asp?objgguid=NEW&amp;from=vvz&amp;gguid=0xE3C48EA4303541209B7380470845A803&amp;mode=own&amp;tguid=0x80B5E42E2E744540BF79A272358D1095&amp;lang=de</t>
  </si>
  <si>
    <t>https://vvz.ruhr-uni-bochum.de/campus/all/event.asp?gguid=0xE55840A4B20E4A35825DE5169C656B46&amp;from=vvz&amp;mode=own&amp;tabID=1&amp;tguid=0x80B5E42E2E744540BF79A272358D1095&amp;objgguid=NEW&amp;lang=de</t>
  </si>
  <si>
    <t>https://vvz.ruhr-uni-bochum.de/campus/all/event.asp?objgguid=NEW&amp;from=vvz&amp;gguid=0xF3EACF2404ED471E9243BE7EB5CD3528&amp;mode=own&amp;tguid=0x80B5E42E2E744540BF79A272358D1095&amp;lang=de</t>
  </si>
  <si>
    <t>https://vvz.ruhr-uni-bochum.de/campus/all/event.asp?objgguid=NEW&amp;from=vvz&amp;gguid=0x8411D27FA689480FB3BA72B4F6DD355B&amp;mode=own&amp;tguid=0x80B5E42E2E744540BF79A272358D1095&amp;lang=de</t>
  </si>
  <si>
    <t>38</t>
  </si>
  <si>
    <t>44</t>
  </si>
  <si>
    <t>4</t>
  </si>
  <si>
    <t>3</t>
  </si>
  <si>
    <t>40</t>
  </si>
  <si>
    <t>6</t>
  </si>
  <si>
    <t>5</t>
  </si>
  <si>
    <t>41</t>
  </si>
  <si>
    <t>32</t>
  </si>
  <si>
    <t>34</t>
  </si>
  <si>
    <t>https://wiwi.tu-dortmund.de/storages/wiwi/r/studiengaenge/wiwi-master/wiwi-master-2019/ma-wiwi-2019-modulhandbuch-neu.pdf#page=102</t>
  </si>
  <si>
    <t>https://wiwi.tu-dortmund.de/storages/wiwi/r/studiengaenge/wiwi-master/wiwi-master-2019/ma-wiwi-2019-modulhandbuch-neu.pdf#page=10</t>
  </si>
  <si>
    <t>https://wiwi.tu-dortmund.de/storages/wiwi/r/studiengaenge/wiwi-master/wiwi-master-2019/ma-wiwi-2019-modulhandbuch-neu.pdf#page=86</t>
  </si>
  <si>
    <t>https://wiwi.tu-dortmund.de/storages/wiwi/r/studiengaenge/wiwi-master/wiwi-master-2019/ma-wiwi-2019-modulhandbuch-neu.pdf#page=80</t>
  </si>
  <si>
    <t>https://www.cs.tu-dortmund.de/nps/de/Studium/Ordnungen_Handbuecher_Beschluesse/Modulhandbuecher/Master_Inf/Vertiefungsmodule/Forschungsbereich_Intelligente_Systeme/INF-MSc-506.pdf</t>
  </si>
  <si>
    <t>https://www.statistik.tu-dortmund.de/fileadmin/user_upload/Studium/Studiengaenge-Infos/ModHb_MSc_DaSc_2020.pdf#page=8</t>
  </si>
  <si>
    <t>https://www.statistik.tu-dortmund.de/fileadmin/user_upload/Studium/Studiengaenge-Infos/ModHb_MSc_DaSc_2020.pdf#page=11</t>
  </si>
  <si>
    <t>https://www.statistik.tu-dortmund.de/fileadmin/user_upload/Studium/Studiengaenge-Infos/ModHb_MSc_DaSc_2020.pdf#page=9</t>
  </si>
  <si>
    <t>Lecturers from Faculty of Statistics</t>
  </si>
  <si>
    <t>Faculty of Statistics</t>
  </si>
  <si>
    <t>https://www.statistik.tu-dortmund.de/lectureoverviewandtimetable.html</t>
  </si>
  <si>
    <t>Migration Economics</t>
  </si>
  <si>
    <t>Jun.-Prof. Dr. Sebastian Otten</t>
  </si>
  <si>
    <t>Lehrstuhl für Arbeitsmarkt- und Migrationsökonomik</t>
  </si>
  <si>
    <t>https://www.labor.wiwi.uni-due.de</t>
  </si>
  <si>
    <t>Jun.-Prof. Dr. Daniel Kühnle</t>
  </si>
  <si>
    <t>Juniorprofessur für VWL, insb. Arbeitsmarkt und Gesundheit</t>
  </si>
  <si>
    <t>https://www.amg.wiwi.uni-due.de</t>
  </si>
  <si>
    <t>Health and Development</t>
  </si>
  <si>
    <t>Seminar Health and Development</t>
  </si>
  <si>
    <t>https://www.wiwi.uni-due.de/studium/informationen-zu-den-modulen/fachseminar-health-and-development-893/</t>
  </si>
  <si>
    <t>https://www.wiwi.uni-due.de/studium/informationen-zu-den-modulen/migration-economics-895/</t>
  </si>
  <si>
    <t>https://www.labor.wiwi.uni-due.de/lehre/sommersemester-2021/13160/</t>
  </si>
  <si>
    <t>https://www.amg.wiwi.uni-due.de/studium-lehre/sommersemester-21/13197/</t>
  </si>
  <si>
    <t>SS21</t>
  </si>
  <si>
    <t>https://www.wiwi.uni-due.de/studium/informationen-zu-den-modulen/advanced-forecasting-in-energy-markets-796/</t>
  </si>
  <si>
    <t>https://www.wiwi.uni-due.de/studium/informationen-zu-den-modulen/econometrics-of-electricity-markets-788/</t>
  </si>
  <si>
    <t>https://www.wiwi.uni-due.de/studium/informationen-zu-den-modulen/portfolio-management-880/</t>
  </si>
  <si>
    <t>https://www.wiwi.uni-due.de/studium/informationen-zu-den-modulen/empirische-bilanzanalyse-785/</t>
  </si>
  <si>
    <t>https://www.wiwi.uni-due.de/studium/informationen-zu-den-modulen/statistisches-seminar-600/</t>
  </si>
  <si>
    <t>https://www.wiwi.uni-due.de/studium/informationen-zu-den-modulen/stichprobentheorie-509/</t>
  </si>
  <si>
    <t>https://www.wiwi.uni-due.de/studium/informationen-zu-den-modulen/fortgeschrittene-oekonometrie-75/</t>
  </si>
  <si>
    <t>https://www.wiwi.uni-due.de/studium/informationen-zu-den-modulen/stock-market-anomalies-and-quantitative-trading-strategies-877/</t>
  </si>
  <si>
    <t>https://wiwi.tu-dortmund.de/storages/wiwi/r/studiengaenge/wiwi-master/wiwi-master-2019/ma-wiwi-2019-modulhandbuch-neu.pdf#page=85</t>
  </si>
  <si>
    <t>https://wiwi.tu-dortmund.de/storages/wiwi/r/studiengaenge/wiwi-master/wiwi-master-2019/ma-wiwi-2019-modulhandbuch-neu.pdf#page=84</t>
  </si>
  <si>
    <t>https://www.wiwi.uni-due.de/studium/informationen-zu-den-modulen/causality-and-programme-evaluation-473/</t>
  </si>
  <si>
    <t>https://wiwi.tu-dortmund.de/storages/wiwi/r/studiengaenge/wiwi-master/wiwi-master-2019/ma-wiwi-2019-modulhandbuch-neu.pdf#page=8</t>
  </si>
  <si>
    <t>https://wiwi.tu-dortmund.de/storages/wiwi/r/studiengaenge/wiwi-master/wiwi-master-2019/ma-wiwi-2019-modulhandbuch-neu.pdf#page=12</t>
  </si>
  <si>
    <t>https://www.wiwi.uni-due.de/studium/informationen-zu-den-modulen/mikrooekonometrie-178/</t>
  </si>
  <si>
    <t>https://www.wiwi.uni-due.de/studium/informationen-zu-den-modulen/quantitative-climate-finance-673/</t>
  </si>
  <si>
    <t>https://www.fiwi.wiwi.uni-due.de/studium-lehre/lehrveranstaltungen/sommersemester-20/11637/</t>
  </si>
  <si>
    <t>https://www.fiwi.wiwi.uni-due.de/studium-lehre/lehrveranstaltungen/sommersemester-20/11636/</t>
  </si>
  <si>
    <t>https://www.lef.wiwi.uni-due.de/studium-lehre/lehrveranstaltungen/sommersemester-2021/qcf-12684/</t>
  </si>
  <si>
    <t>https://www.lef.wiwi.uni-due.de/studium-lehre/lehrveranstaltungen/sommersemester-2021/qcf-12683/</t>
  </si>
  <si>
    <t>https://www.wiwi.uni-due.de/studium/informationen-zu-den-modulen/international-capital-movements-theory-and-econometric-evidence-662/</t>
  </si>
  <si>
    <t>https://www.wiwi2.tu-dortmund.de/wiwi/of/de/einrichtung/aktuell/index.html</t>
  </si>
  <si>
    <t>https://www.statistik.tu-dortmund.de/naturwissenschaften.html</t>
  </si>
  <si>
    <t>https://www.uee.wiwi.uni-due.de</t>
  </si>
  <si>
    <t>https://www.uee.wiwi.uni-due.de/studium-lehre/sommersemester-21/13269/</t>
  </si>
  <si>
    <t>https://www.uee.wiwi.uni-due.de/studium-lehre/sommersemester-21/13271/</t>
  </si>
  <si>
    <t>https://www.uee.wiwi.uni-due.de/studium-lehre/sommersemester-21/13270/</t>
  </si>
  <si>
    <t>https://vvz.ruhr-uni-bochum.de/campus/all/event.asp?objgguid=NEW&amp;from=vvz&amp;gguid=0xCC7BE32B58EA4AB5BD3AECB361F94DDB&amp;mode=own&amp;tguid=0x9A7B3E5DBFE949E6A3541F86071B243D&amp;lang=de</t>
  </si>
  <si>
    <t>https://vvz.ruhr-uni-bochum.de/campus/all/event.asp?objgguid=NEW&amp;from=vvz&amp;gguid=0x272B34AAFB7F4E00B974F6DABBE823C5&amp;mode=own&amp;tguid=0x9A7B3E5DBFE949E6A3541F86071B243D&amp;lang=de</t>
  </si>
  <si>
    <t>https://vvz.ruhr-uni-bochum.de/campus/all/event.asp?objgguid=NEW&amp;from=vvz&amp;gguid=0x8ED59477C5274E328887E8AF946E7826&amp;mode=own&amp;tguid=0x9A7B3E5DBFE949E6A3541F86071B243D&amp;lang=de</t>
  </si>
  <si>
    <t>https://www.stat.wiwi.uni-due.de/studium-lehre/lehrveranstaltungen/sommersemester-21/12414/</t>
  </si>
  <si>
    <t>https://www.stat.wiwi.uni-due.de/studium-lehre/lehrveranstaltungen/sommersemester-21/12412/</t>
  </si>
  <si>
    <t>https://www.lsf.tu-dortmund.de/qisserver/rds?state=verpublish&amp;status=init&amp;vmfile=no&amp;publishid=236695&amp;moduleCall=webInfo&amp;publishConfFile=webInfo&amp;publishSubDir=veranstaltung</t>
  </si>
  <si>
    <t>https://www.lsf.tu-dortmund.de/qisserver/rds?state=verpublish&amp;status=init&amp;vmfile=no&amp;publishid=236697&amp;moduleCall=webInfo&amp;publishConfFile=webInfo&amp;publishSubDir=veranstaltung</t>
  </si>
  <si>
    <t>https://www.lsf.tu-dortmund.de/qisserver/rds?state=verpublish&amp;status=init&amp;vmfile=no&amp;publishid=236700&amp;moduleCall=webInfo&amp;publishConfFile=webInfo&amp;publishSubDir=veranstaltung</t>
  </si>
  <si>
    <t>https://www.fin.wiwi.uni-due.de/studium-lehre/sommersemester-21/12384/</t>
  </si>
  <si>
    <t>https://www.lsf.tu-dortmund.de/qisserver/rds?state=verpublish&amp;status=init&amp;vmfile=no&amp;publishid=237234&amp;moduleCall=webInfo&amp;publishConfFile=webInfo&amp;publishSubDir=veranstaltung</t>
  </si>
  <si>
    <t>https://www.lsf.tu-dortmund.de/qisserver/rds?state=verpublish&amp;status=init&amp;vmfile=no&amp;publishid=237235&amp;moduleCall=webInfo&amp;publishConfFile=webInfo&amp;publishSubDir=veranstaltung</t>
  </si>
  <si>
    <t>https://vvz.ruhr-uni-bochum.de/campus/all/event.asp?objgguid=NEW&amp;from=&amp;gguid=0x6B6CCD3F81FE49E3BCFE7A396FB4F7CC&amp;mode=&amp;tguid=0x9A7B3E5DBFE949E6A3541F86071B243D&amp;lang=de</t>
  </si>
  <si>
    <t>https://vvz.ruhr-uni-bochum.de/campus/all/event.asp?objgguid=NEW&amp;from=vvz&amp;gguid=0xF0EC068A1E26489AAEC90FF15963200C&amp;mode=own&amp;tguid=0x9A7B3E5DBFE949E6A3541F86071B243D&amp;lang=de</t>
  </si>
  <si>
    <t>https://vvz.ruhr-uni-bochum.de/campus/all/event.asp?objgguid=NEW&amp;from=vvz&amp;gguid=0x8CB93120CF0E42BCB0E1B86D37580928&amp;mode=own&amp;tguid=0x9A7B3E5DBFE949E6A3541F86071B243D&amp;lang=de</t>
  </si>
  <si>
    <t>https://vvz.ruhr-uni-bochum.de/campus/all/event.asp?objgguid=NEW&amp;from=&amp;gguid=0x89F4F6E2E83C4A169B410FD74E53ED35&amp;mode=&amp;tguid=0x9A7B3E5DBFE949E6A3541F86071B243D&amp;lang=de</t>
  </si>
  <si>
    <t>https://vvz.ruhr-uni-bochum.de/campus/all/event.asp?objgguid=NEW&amp;from=vvz&amp;gguid=0x27E01A3F3A3B4854A2C15ADAB54934B0&amp;mode=own&amp;tguid=0x9A7B3E5DBFE949E6A3541F86071B243D&amp;lang=de</t>
  </si>
  <si>
    <t>https://www.oek.wiwi.uni-due.de/studium-lehre/lehrveranstaltungen/sommersemester-21/13094/</t>
  </si>
  <si>
    <t>https://www.oek.wiwi.uni-due.de/studium-lehre/lehrveranstaltungen/sommersemester-21/13093/</t>
  </si>
  <si>
    <t>https://www.iwb.wiwi.uni-due.de/studium-lehre/lehrveranstaltungen/sommersemester-21/icm-12429/</t>
  </si>
  <si>
    <t>https://www.iwb.wiwi.uni-due.de/studium-lehre/lehrveranstaltungen/sommersemester-21/icm-t-12428/</t>
  </si>
  <si>
    <t>48</t>
  </si>
  <si>
    <t>50</t>
  </si>
  <si>
    <t>Robuste statistische Verfahren</t>
  </si>
  <si>
    <t>39</t>
  </si>
  <si>
    <t>54</t>
  </si>
  <si>
    <t>56</t>
  </si>
  <si>
    <t>https://www.qmw.msm.uni-due.de/lehre/lehrveranstaltungen/sommersemester-21/4551/</t>
  </si>
  <si>
    <t>https://www.qmw.msm.uni-due.de/lehre/lehrveranstaltungen/sommersemester-21/4552/</t>
  </si>
  <si>
    <t>62</t>
  </si>
  <si>
    <t>37</t>
  </si>
  <si>
    <t>33</t>
  </si>
  <si>
    <t>35</t>
  </si>
  <si>
    <t>47</t>
  </si>
  <si>
    <t>Introduction to Microeconometrics</t>
  </si>
  <si>
    <t>42</t>
  </si>
  <si>
    <t>https://www.oek.wiwi.uni-due.de/studium-lehre/lehrveranstaltungen/sommersemester-21/13088/</t>
  </si>
  <si>
    <t>https://vvz.ruhr-uni-bochum.de/campus/all/event.asp?objgguid=NEW&amp;from=&amp;gguid=0xED43BC2618514FF9B136E408893BCE99&amp;mode=&amp;tguid=0x9A7B3E5DBFE949E6A3541F86071B243D&amp;lang=de</t>
  </si>
  <si>
    <t>https://www.wiwi.ruhr-uni-bochum.de/statoek/lehre/sose21.html.de</t>
  </si>
  <si>
    <t>Seminar on Health Economics and Health Policy</t>
  </si>
  <si>
    <t>Seminar in Zeitreihenökonometrie</t>
  </si>
  <si>
    <t>46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</si>
</sst>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;;;@"/>
    <numFmt numFmtId="165" formatCode="h:mm;@"/>
  </numFmts>
  <fonts count="24" x14ac:knownFonts="1">
    <font>
      <sz val="10"/>
      <color rgb="FF595959"/>
      <name val="Verdana"/>
      <family val="2"/>
      <charset val="1"/>
    </font>
    <font>
      <sz val="11"/>
      <color rgb="FF595959"/>
      <name val="Verdana"/>
      <family val="2"/>
      <charset val="1"/>
    </font>
    <font>
      <b/>
      <sz val="30"/>
      <color rgb="FF595959"/>
      <name val="Tahoma"/>
      <family val="2"/>
      <charset val="1"/>
    </font>
    <font>
      <b/>
      <sz val="12"/>
      <color rgb="FFFFFFFF"/>
      <name val="Verdana"/>
      <family val="2"/>
      <charset val="1"/>
    </font>
    <font>
      <sz val="12"/>
      <color rgb="FFFFFFFF"/>
      <name val="Verdana"/>
      <family val="2"/>
      <charset val="1"/>
    </font>
    <font>
      <b/>
      <sz val="10"/>
      <color rgb="FF595959"/>
      <name val="Verdana"/>
      <family val="2"/>
      <charset val="1"/>
    </font>
    <font>
      <b/>
      <sz val="11"/>
      <color rgb="FFFFFFFF"/>
      <name val="Verdana"/>
      <family val="2"/>
      <charset val="1"/>
    </font>
    <font>
      <b/>
      <sz val="10"/>
      <color rgb="FFFFFFFF"/>
      <name val="Verdana"/>
      <family val="2"/>
      <charset val="1"/>
    </font>
    <font>
      <sz val="11"/>
      <color rgb="FF9C0006"/>
      <name val="Verdana"/>
      <family val="2"/>
      <charset val="1"/>
    </font>
    <font>
      <sz val="12"/>
      <color rgb="FF9C5700"/>
      <name val="Verdana"/>
      <family val="2"/>
      <charset val="1"/>
    </font>
    <font>
      <u/>
      <sz val="10"/>
      <color rgb="FF0000FF"/>
      <name val="Verdana"/>
      <family val="2"/>
      <charset val="1"/>
    </font>
    <font>
      <sz val="11"/>
      <color rgb="FF006100"/>
      <name val="Verdana"/>
      <family val="2"/>
      <charset val="1"/>
    </font>
    <font>
      <b/>
      <sz val="10"/>
      <color theme="1"/>
      <name val="Verdana"/>
      <family val="2"/>
    </font>
    <font>
      <b/>
      <sz val="11"/>
      <name val="Verdana"/>
      <family val="2"/>
      <charset val="1"/>
    </font>
    <font>
      <b/>
      <sz val="11"/>
      <color theme="0"/>
      <name val="Verdana"/>
      <family val="2"/>
      <charset val="1"/>
    </font>
    <font>
      <b/>
      <sz val="11"/>
      <color theme="0"/>
      <name val="Verdana"/>
      <family val="2"/>
    </font>
    <font>
      <b/>
      <sz val="11"/>
      <name val="Verdana"/>
      <family val="2"/>
    </font>
    <font>
      <b/>
      <sz val="11"/>
      <color rgb="FFFFFFFF"/>
      <name val="Verdana"/>
      <family val="2"/>
    </font>
    <font>
      <b/>
      <sz val="11"/>
      <color rgb="FF9C0006"/>
      <name val="Verdana"/>
      <family val="2"/>
      <charset val="1"/>
    </font>
    <font>
      <b/>
      <strike/>
      <sz val="11"/>
      <color rgb="FF9C0006"/>
      <name val="Verdana (Body)"/>
      <charset val="1"/>
    </font>
    <font>
      <b/>
      <sz val="11"/>
      <color rgb="FFFF0000"/>
      <name val="Verdana"/>
      <family val="2"/>
    </font>
    <font>
      <sz val="10"/>
      <color rgb="FFFF0000"/>
      <name val="Verdana"/>
      <family val="2"/>
    </font>
    <font>
      <sz val="10"/>
      <color theme="0"/>
      <name val="Verdana"/>
      <family val="2"/>
    </font>
    <font>
      <b/>
      <sz val="11"/>
      <color theme="1"/>
      <name val="Verdana"/>
      <family val="2"/>
    </font>
  </fonts>
  <fills count="11">
    <fill>
      <patternFill patternType="none"/>
    </fill>
    <fill>
      <patternFill patternType="gray125"/>
    </fill>
    <fill>
      <patternFill patternType="solid">
        <fgColor rgb="FF595959"/>
        <bgColor rgb="FF8064A2"/>
      </patternFill>
    </fill>
    <fill>
      <patternFill patternType="solid">
        <fgColor rgb="FFFFC7CE"/>
        <bgColor rgb="FFE6B9B8"/>
      </patternFill>
    </fill>
    <fill>
      <patternFill patternType="solid">
        <fgColor rgb="FFFFEB9C"/>
        <bgColor rgb="FFD5FC79"/>
      </patternFill>
    </fill>
    <fill>
      <patternFill patternType="solid">
        <fgColor rgb="FFC6EFCE"/>
        <bgColor rgb="FFD9D9D9"/>
      </patternFill>
    </fill>
    <fill>
      <patternFill patternType="solid">
        <fgColor rgb="FF538C0E"/>
        <bgColor rgb="FFFFEB9C"/>
      </patternFill>
    </fill>
    <fill>
      <patternFill patternType="solid">
        <fgColor rgb="FF0A274E"/>
        <bgColor rgb="FF333399"/>
      </patternFill>
    </fill>
    <fill>
      <patternFill patternType="solid">
        <fgColor rgb="FFDFE4F2"/>
        <bgColor rgb="FF9999FF"/>
      </patternFill>
    </fill>
    <fill>
      <patternFill patternType="solid">
        <fgColor rgb="FFDFE4F2"/>
        <bgColor indexed="64"/>
      </patternFill>
    </fill>
    <fill>
      <patternFill patternType="solid">
        <fgColor rgb="FF0A274E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</borders>
  <cellStyleXfs count="9">
    <xf numFmtId="0" fontId="0" fillId="0" borderId="0"/>
    <xf numFmtId="0" fontId="10" fillId="0" borderId="0" applyBorder="0" applyProtection="0"/>
    <xf numFmtId="164" fontId="1" fillId="0" borderId="0">
      <alignment horizontal="center" vertical="center" wrapText="1"/>
    </xf>
    <xf numFmtId="165" fontId="1" fillId="0" borderId="0">
      <alignment horizontal="center" vertical="center"/>
    </xf>
    <xf numFmtId="0" fontId="2" fillId="0" borderId="0" applyBorder="0" applyProtection="0"/>
    <xf numFmtId="0" fontId="4" fillId="2" borderId="0" applyBorder="0" applyProtection="0"/>
    <xf numFmtId="0" fontId="8" fillId="3" borderId="0" applyBorder="0" applyProtection="0"/>
    <xf numFmtId="0" fontId="9" fillId="4" borderId="0" applyBorder="0" applyProtection="0"/>
    <xf numFmtId="0" fontId="11" fillId="5" borderId="0" applyBorder="0" applyProtection="0"/>
  </cellStyleXfs>
  <cellXfs count="68">
    <xf numFmtId="0" fontId="0" fillId="0" borderId="0" xfId="0"/>
    <xf numFmtId="0" fontId="0" fillId="0" borderId="2" xfId="0" applyBorder="1"/>
    <xf numFmtId="0" fontId="3" fillId="2" borderId="2" xfId="5" applyFont="1" applyBorder="1" applyAlignment="1" applyProtection="1">
      <alignment horizontal="left" vertical="center"/>
    </xf>
    <xf numFmtId="0" fontId="5" fillId="0" borderId="2" xfId="0" applyFont="1" applyBorder="1" applyAlignment="1">
      <alignment horizontal="left"/>
    </xf>
    <xf numFmtId="0" fontId="0" fillId="0" borderId="2" xfId="0" applyFont="1" applyBorder="1"/>
    <xf numFmtId="0" fontId="3" fillId="2" borderId="2" xfId="5" applyFont="1" applyBorder="1" applyAlignment="1" applyProtection="1">
      <alignment horizontal="center" vertical="center"/>
    </xf>
    <xf numFmtId="0" fontId="7" fillId="2" borderId="1" xfId="5" applyFont="1" applyBorder="1" applyAlignment="1" applyProtection="1">
      <alignment horizontal="center" vertical="center" wrapText="1"/>
    </xf>
    <xf numFmtId="0" fontId="7" fillId="2" borderId="1" xfId="5" applyFont="1" applyBorder="1" applyAlignment="1" applyProtection="1">
      <alignment horizontal="center" vertical="center"/>
    </xf>
    <xf numFmtId="0" fontId="12" fillId="0" borderId="1" xfId="1" applyFont="1" applyBorder="1" applyAlignment="1">
      <alignment horizontal="center" vertical="center" wrapText="1"/>
    </xf>
    <xf numFmtId="0" fontId="12" fillId="0" borderId="1" xfId="1" applyFont="1" applyBorder="1" applyAlignment="1">
      <alignment horizontal="center" vertical="center"/>
    </xf>
    <xf numFmtId="164" fontId="15" fillId="6" borderId="2" xfId="2" applyFont="1" applyFill="1" applyBorder="1">
      <alignment horizontal="center" vertical="center" wrapText="1"/>
    </xf>
    <xf numFmtId="164" fontId="16" fillId="8" borderId="2" xfId="2" applyFont="1" applyFill="1" applyBorder="1" applyAlignment="1">
      <alignment horizontal="center" vertical="center" wrapText="1"/>
    </xf>
    <xf numFmtId="164" fontId="17" fillId="7" borderId="2" xfId="2" applyFont="1" applyFill="1" applyBorder="1" applyAlignment="1">
      <alignment horizontal="center" vertical="center" wrapText="1"/>
    </xf>
    <xf numFmtId="0" fontId="3" fillId="2" borderId="2" xfId="5" applyFont="1" applyBorder="1" applyAlignment="1" applyProtection="1">
      <alignment horizontal="left" vertical="center"/>
      <protection locked="0"/>
    </xf>
    <xf numFmtId="164" fontId="14" fillId="6" borderId="2" xfId="2" applyFont="1" applyFill="1" applyBorder="1" applyProtection="1">
      <alignment horizontal="center" vertical="center" wrapText="1"/>
      <protection locked="0"/>
    </xf>
    <xf numFmtId="164" fontId="13" fillId="8" borderId="2" xfId="2" applyFont="1" applyFill="1" applyBorder="1" applyAlignment="1" applyProtection="1">
      <alignment horizontal="center" vertical="center" wrapText="1"/>
      <protection locked="0"/>
    </xf>
    <xf numFmtId="164" fontId="6" fillId="7" borderId="2" xfId="2" applyFont="1" applyFill="1" applyBorder="1" applyAlignment="1" applyProtection="1">
      <alignment horizontal="center" vertical="center" wrapText="1"/>
      <protection locked="0"/>
    </xf>
    <xf numFmtId="0" fontId="0" fillId="0" borderId="2" xfId="0" applyBorder="1" applyProtection="1">
      <protection locked="0"/>
    </xf>
    <xf numFmtId="164" fontId="14" fillId="6" borderId="2" xfId="2" applyFont="1" applyFill="1" applyBorder="1" applyProtection="1">
      <alignment horizontal="center" vertical="center" wrapText="1"/>
    </xf>
    <xf numFmtId="164" fontId="13" fillId="8" borderId="2" xfId="2" applyFont="1" applyFill="1" applyBorder="1" applyAlignment="1" applyProtection="1">
      <alignment horizontal="center" vertical="center" wrapText="1"/>
    </xf>
    <xf numFmtId="164" fontId="6" fillId="7" borderId="2" xfId="2" applyFont="1" applyFill="1" applyBorder="1" applyAlignment="1" applyProtection="1">
      <alignment horizontal="center" vertical="center" wrapText="1"/>
    </xf>
    <xf numFmtId="0" fontId="3" fillId="2" borderId="2" xfId="5" applyFont="1" applyBorder="1" applyAlignment="1" applyProtection="1">
      <alignment horizontal="center" vertical="center"/>
      <protection locked="0"/>
    </xf>
    <xf numFmtId="0" fontId="5" fillId="0" borderId="2" xfId="0" applyFont="1" applyBorder="1" applyAlignment="1" applyProtection="1">
      <alignment horizontal="left"/>
      <protection locked="0"/>
    </xf>
    <xf numFmtId="164" fontId="15" fillId="6" borderId="2" xfId="2" applyFont="1" applyFill="1" applyBorder="1" applyProtection="1">
      <alignment horizontal="center" vertical="center" wrapText="1"/>
      <protection locked="0"/>
    </xf>
    <xf numFmtId="0" fontId="0" fillId="0" borderId="2" xfId="0" applyFont="1" applyBorder="1" applyProtection="1">
      <protection locked="0"/>
    </xf>
    <xf numFmtId="164" fontId="16" fillId="8" borderId="2" xfId="2" applyFont="1" applyFill="1" applyBorder="1" applyAlignment="1" applyProtection="1">
      <alignment horizontal="center" vertical="center" wrapText="1"/>
      <protection locked="0"/>
    </xf>
    <xf numFmtId="165" fontId="13" fillId="8" borderId="2" xfId="3" applyFont="1" applyFill="1" applyBorder="1" applyProtection="1">
      <alignment horizontal="center" vertical="center"/>
      <protection locked="0"/>
    </xf>
    <xf numFmtId="165" fontId="13" fillId="8" borderId="2" xfId="3" applyFont="1" applyFill="1" applyBorder="1" applyAlignment="1" applyProtection="1">
      <alignment horizontal="center" vertical="center"/>
      <protection locked="0"/>
    </xf>
    <xf numFmtId="165" fontId="13" fillId="8" borderId="2" xfId="3" applyFont="1" applyFill="1" applyBorder="1" applyAlignment="1" applyProtection="1">
      <alignment horizontal="center" vertical="center" wrapText="1"/>
      <protection locked="0"/>
    </xf>
    <xf numFmtId="0" fontId="13" fillId="8" borderId="2" xfId="3" applyNumberFormat="1" applyFont="1" applyFill="1" applyBorder="1" applyAlignment="1" applyProtection="1">
      <alignment horizontal="center" vertical="center"/>
      <protection locked="0"/>
    </xf>
    <xf numFmtId="0" fontId="13" fillId="8" borderId="2" xfId="3" applyNumberFormat="1" applyFont="1" applyFill="1" applyBorder="1" applyAlignment="1" applyProtection="1">
      <alignment horizontal="center" vertical="center" wrapText="1"/>
      <protection locked="0"/>
    </xf>
    <xf numFmtId="164" fontId="17" fillId="7" borderId="2" xfId="2" applyFont="1" applyFill="1" applyBorder="1" applyAlignment="1" applyProtection="1">
      <alignment horizontal="center" vertical="center" wrapText="1"/>
      <protection locked="0"/>
    </xf>
    <xf numFmtId="165" fontId="6" fillId="7" borderId="2" xfId="3" applyFont="1" applyFill="1" applyBorder="1" applyProtection="1">
      <alignment horizontal="center" vertical="center"/>
      <protection locked="0"/>
    </xf>
    <xf numFmtId="164" fontId="6" fillId="7" borderId="2" xfId="2" applyFont="1" applyFill="1" applyBorder="1" applyProtection="1">
      <alignment horizontal="center" vertical="center" wrapText="1"/>
      <protection locked="0"/>
    </xf>
    <xf numFmtId="0" fontId="6" fillId="7" borderId="2" xfId="2" applyNumberFormat="1" applyFont="1" applyFill="1" applyBorder="1" applyAlignment="1" applyProtection="1">
      <alignment horizontal="center" vertical="center" wrapText="1"/>
      <protection locked="0"/>
    </xf>
    <xf numFmtId="0" fontId="0" fillId="0" borderId="0" xfId="0" applyProtection="1">
      <protection locked="0"/>
    </xf>
    <xf numFmtId="0" fontId="5" fillId="0" borderId="2" xfId="0" applyFont="1" applyBorder="1" applyProtection="1">
      <protection locked="0"/>
    </xf>
    <xf numFmtId="0" fontId="13" fillId="8" borderId="2" xfId="3" applyNumberFormat="1" applyFont="1" applyFill="1" applyBorder="1" applyAlignment="1" applyProtection="1">
      <alignment horizontal="center" vertical="center"/>
    </xf>
    <xf numFmtId="0" fontId="6" fillId="7" borderId="2" xfId="2" applyNumberFormat="1" applyFont="1" applyFill="1" applyBorder="1" applyAlignment="1" applyProtection="1">
      <alignment horizontal="center" vertical="center" wrapText="1"/>
    </xf>
    <xf numFmtId="0" fontId="14" fillId="6" borderId="2" xfId="2" applyNumberFormat="1" applyFont="1" applyFill="1" applyBorder="1" applyProtection="1">
      <alignment horizontal="center" vertical="center" wrapText="1"/>
    </xf>
    <xf numFmtId="164" fontId="20" fillId="7" borderId="2" xfId="2" applyFont="1" applyFill="1" applyBorder="1" applyAlignment="1" applyProtection="1">
      <alignment horizontal="center" vertical="center" wrapText="1"/>
      <protection locked="0"/>
    </xf>
    <xf numFmtId="164" fontId="20" fillId="7" borderId="2" xfId="2" applyFont="1" applyFill="1" applyBorder="1" applyAlignment="1" applyProtection="1">
      <alignment horizontal="center" vertical="center" wrapText="1"/>
    </xf>
    <xf numFmtId="0" fontId="21" fillId="0" borderId="2" xfId="0" applyFont="1" applyBorder="1" applyProtection="1">
      <protection locked="0"/>
    </xf>
    <xf numFmtId="0" fontId="21" fillId="0" borderId="0" xfId="0" applyFont="1" applyProtection="1">
      <protection locked="0"/>
    </xf>
    <xf numFmtId="165" fontId="20" fillId="7" borderId="2" xfId="3" applyFont="1" applyFill="1" applyBorder="1" applyProtection="1">
      <alignment horizontal="center" vertical="center"/>
      <protection locked="0"/>
    </xf>
    <xf numFmtId="164" fontId="20" fillId="7" borderId="2" xfId="2" applyFont="1" applyFill="1" applyBorder="1" applyProtection="1">
      <alignment horizontal="center" vertical="center" wrapText="1"/>
      <protection locked="0"/>
    </xf>
    <xf numFmtId="0" fontId="20" fillId="7" borderId="2" xfId="2" applyNumberFormat="1" applyFont="1" applyFill="1" applyBorder="1" applyAlignment="1" applyProtection="1">
      <alignment horizontal="center" vertical="center" wrapText="1"/>
      <protection locked="0"/>
    </xf>
    <xf numFmtId="164" fontId="20" fillId="6" borderId="2" xfId="2" applyFont="1" applyFill="1" applyBorder="1" applyProtection="1">
      <alignment horizontal="center" vertical="center" wrapText="1"/>
      <protection locked="0"/>
    </xf>
    <xf numFmtId="164" fontId="20" fillId="6" borderId="2" xfId="2" applyFont="1" applyFill="1" applyBorder="1" applyProtection="1">
      <alignment horizontal="center" vertical="center" wrapText="1"/>
    </xf>
    <xf numFmtId="164" fontId="15" fillId="6" borderId="2" xfId="2" applyFont="1" applyFill="1" applyBorder="1" applyProtection="1">
      <alignment horizontal="center" vertical="center" wrapText="1"/>
    </xf>
    <xf numFmtId="0" fontId="22" fillId="0" borderId="2" xfId="0" applyFont="1" applyBorder="1" applyProtection="1">
      <protection locked="0"/>
    </xf>
    <xf numFmtId="0" fontId="16" fillId="8" borderId="2" xfId="3" applyNumberFormat="1" applyFont="1" applyFill="1" applyBorder="1" applyAlignment="1">
      <alignment horizontal="center" vertical="center"/>
    </xf>
    <xf numFmtId="0" fontId="17" fillId="7" borderId="2" xfId="2" applyNumberFormat="1" applyFont="1" applyFill="1" applyBorder="1" applyAlignment="1">
      <alignment horizontal="center" vertical="center" wrapText="1"/>
    </xf>
    <xf numFmtId="164" fontId="14" fillId="6" borderId="2" xfId="2" applyFont="1" applyFill="1" applyBorder="1" applyAlignment="1" applyProtection="1">
      <alignment horizontal="center" vertical="center"/>
      <protection locked="0"/>
    </xf>
    <xf numFmtId="164" fontId="16" fillId="8" borderId="2" xfId="2" applyFont="1" applyFill="1" applyBorder="1" applyAlignment="1" applyProtection="1">
      <alignment horizontal="center" vertical="center" wrapText="1"/>
    </xf>
    <xf numFmtId="0" fontId="16" fillId="8" borderId="2" xfId="2" applyNumberFormat="1" applyFont="1" applyFill="1" applyBorder="1" applyAlignment="1" applyProtection="1">
      <alignment horizontal="center" vertical="center" wrapText="1"/>
      <protection locked="0"/>
    </xf>
    <xf numFmtId="165" fontId="13" fillId="8" borderId="2" xfId="3" applyFont="1" applyFill="1" applyBorder="1" applyAlignment="1" applyProtection="1">
      <alignment horizontal="center" vertical="center"/>
    </xf>
    <xf numFmtId="164" fontId="20" fillId="6" borderId="2" xfId="2" applyFont="1" applyFill="1" applyBorder="1">
      <alignment horizontal="center" vertical="center" wrapText="1"/>
    </xf>
    <xf numFmtId="0" fontId="21" fillId="0" borderId="2" xfId="0" applyFont="1" applyBorder="1"/>
    <xf numFmtId="0" fontId="23" fillId="9" borderId="2" xfId="1" applyFont="1" applyFill="1" applyBorder="1" applyAlignment="1" applyProtection="1">
      <alignment vertical="center"/>
      <protection locked="0"/>
    </xf>
    <xf numFmtId="0" fontId="15" fillId="10" borderId="2" xfId="1" applyFont="1" applyFill="1" applyBorder="1" applyAlignment="1" applyProtection="1">
      <alignment horizontal="center" vertical="center"/>
      <protection locked="0"/>
    </xf>
    <xf numFmtId="164" fontId="20" fillId="6" borderId="2" xfId="2" applyFont="1" applyFill="1" applyBorder="1" applyAlignment="1" applyProtection="1">
      <alignment horizontal="center" vertical="center" wrapText="1"/>
      <protection locked="0"/>
    </xf>
    <xf numFmtId="0" fontId="23" fillId="9" borderId="2" xfId="1" applyFont="1" applyFill="1" applyBorder="1" applyAlignment="1" applyProtection="1">
      <alignment horizontal="center" vertical="center"/>
      <protection locked="0"/>
    </xf>
    <xf numFmtId="164" fontId="15" fillId="6" borderId="2" xfId="2" applyFont="1" applyFill="1" applyBorder="1" applyAlignment="1" applyProtection="1">
      <alignment horizontal="center" vertical="center" wrapText="1"/>
    </xf>
    <xf numFmtId="164" fontId="14" fillId="6" borderId="2" xfId="2" applyFont="1" applyFill="1" applyBorder="1" applyAlignment="1" applyProtection="1">
      <alignment horizontal="center" vertical="center" wrapText="1"/>
      <protection locked="0"/>
    </xf>
    <xf numFmtId="0" fontId="0" fillId="0" borderId="2" xfId="0" applyBorder="1" applyAlignment="1" applyProtection="1">
      <alignment horizontal="center"/>
      <protection locked="0"/>
    </xf>
    <xf numFmtId="0" fontId="10" fillId="0" borderId="2" xfId="1" applyBorder="1"/>
    <xf numFmtId="164" fontId="17" fillId="7" borderId="2" xfId="0" applyNumberFormat="1" applyFont="1" applyFill="1" applyBorder="1" applyAlignment="1" applyProtection="1">
      <alignment horizontal="center" vertical="center" wrapText="1"/>
      <protection locked="0"/>
    </xf>
  </cellXfs>
  <cellStyles count="9">
    <cellStyle name="Excel Built-in Bad" xfId="6" xr:uid="{00000000-0005-0000-0000-000000000000}"/>
    <cellStyle name="Excel Built-in Good" xfId="8" xr:uid="{00000000-0005-0000-0000-000001000000}"/>
    <cellStyle name="Excel Built-in Heading 2" xfId="5" xr:uid="{00000000-0005-0000-0000-000002000000}"/>
    <cellStyle name="Excel Built-in Neutral" xfId="7" xr:uid="{00000000-0005-0000-0000-000003000000}"/>
    <cellStyle name="Excel Built-in Title" xfId="4" xr:uid="{00000000-0005-0000-0000-000004000000}"/>
    <cellStyle name="Hyperlink" xfId="1" builtinId="8" customBuiltin="1"/>
    <cellStyle name="Normal" xfId="0" builtinId="0"/>
    <cellStyle name="Table_Details" xfId="2" xr:uid="{00000000-0005-0000-0000-000007000000}"/>
    <cellStyle name="Uhrzeit" xfId="3" xr:uid="{00000000-0005-0000-0000-000008000000}"/>
  </cellStyles>
  <dxfs count="1">
    <dxf>
      <fill>
        <patternFill patternType="solid">
          <fgColor rgb="FF538C0E"/>
          <bgColor rgb="FFFFEB9C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808000"/>
      <rgbColor rgb="FF800080"/>
      <rgbColor rgb="FF008080"/>
      <rgbColor rgb="FFC4BD97"/>
      <rgbColor rgb="FF808080"/>
      <rgbColor rgb="FF9999FF"/>
      <rgbColor rgb="FF993366"/>
      <rgbColor rgb="FFD5FC79"/>
      <rgbColor rgb="FFC5D9F1"/>
      <rgbColor rgb="FF660066"/>
      <rgbColor rgb="FFFF8080"/>
      <rgbColor rgb="FF0066CC"/>
      <rgbColor rgb="FFC6D9F1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B0F0"/>
      <rgbColor rgb="FFD9D9D9"/>
      <rgbColor rgb="FFC6EFCE"/>
      <rgbColor rgb="FFFFEB9C"/>
      <rgbColor rgb="FF95B3D7"/>
      <rgbColor rgb="FFE6B8B7"/>
      <rgbColor rgb="FFE6B9B8"/>
      <rgbColor rgb="FFFFC7CE"/>
      <rgbColor rgb="FF3366FF"/>
      <rgbColor rgb="FF33CCCC"/>
      <rgbColor rgb="FF92D050"/>
      <rgbColor rgb="FFFFCC00"/>
      <rgbColor rgb="FFFF9900"/>
      <rgbColor rgb="FFFF6600"/>
      <rgbColor rgb="FF8064A2"/>
      <rgbColor rgb="FF969696"/>
      <rgbColor rgb="FF17375E"/>
      <rgbColor rgb="FF339966"/>
      <rgbColor rgb="FF003300"/>
      <rgbColor rgb="FF333300"/>
      <rgbColor rgb="FF9C5700"/>
      <rgbColor rgb="FF993366"/>
      <rgbColor rgb="FF333399"/>
      <rgbColor rgb="FF595959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0A274E"/>
      <color rgb="FFDFE4F2"/>
      <color rgb="FF538C0E"/>
      <color rgb="FF95B2D8"/>
      <color rgb="FF042963"/>
      <color rgb="FFC1F385"/>
      <color rgb="FFD5FC79"/>
      <color rgb="FF17375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statistik.tu-dortmund.de/iwus.html" TargetMode="External"/><Relationship Id="rId13" Type="http://schemas.openxmlformats.org/officeDocument/2006/relationships/hyperlink" Target="https://www.wiwi.ruhr-uni-bochum.de/statoek/index.html.de" TargetMode="External"/><Relationship Id="rId3" Type="http://schemas.openxmlformats.org/officeDocument/2006/relationships/hyperlink" Target="https://www.wiwi2.tu-dortmund.de/wiwi/mik/de/lehrstuhl/index.html" TargetMode="External"/><Relationship Id="rId7" Type="http://schemas.openxmlformats.org/officeDocument/2006/relationships/hyperlink" Target="https://www.wiwi2.tu-dortmund.de/wiwi/mak/de/lehrstuhl/index.html" TargetMode="External"/><Relationship Id="rId12" Type="http://schemas.openxmlformats.org/officeDocument/2006/relationships/hyperlink" Target="https://www-ai.cs.tu-dortmund.de/index.html" TargetMode="External"/><Relationship Id="rId2" Type="http://schemas.openxmlformats.org/officeDocument/2006/relationships/hyperlink" Target="https://www.statistik.tu-dortmund.de/oekonometrie.html" TargetMode="External"/><Relationship Id="rId1" Type="http://schemas.openxmlformats.org/officeDocument/2006/relationships/hyperlink" Target="https://www.wiwi2.tu-dortmund.de/wiwi/ae/de/lehrstuhl/" TargetMode="External"/><Relationship Id="rId6" Type="http://schemas.openxmlformats.org/officeDocument/2006/relationships/hyperlink" Target="https://www.statistik.tu-dortmund.de/ingenieurswissenschaften.html" TargetMode="External"/><Relationship Id="rId11" Type="http://schemas.openxmlformats.org/officeDocument/2006/relationships/hyperlink" Target="https://www.uee.wiwi.uni-due.de/" TargetMode="External"/><Relationship Id="rId5" Type="http://schemas.openxmlformats.org/officeDocument/2006/relationships/hyperlink" Target="https://www.statistik.tu-dortmund.de/biometrie.html" TargetMode="External"/><Relationship Id="rId10" Type="http://schemas.openxmlformats.org/officeDocument/2006/relationships/hyperlink" Target="https://www.wiwi2.tu-dortmund.de/wiwi/wp/de/lehrstuhl/index.html" TargetMode="External"/><Relationship Id="rId4" Type="http://schemas.openxmlformats.org/officeDocument/2006/relationships/hyperlink" Target="https://www.statistik.tu-dortmund.de/bigdata.html" TargetMode="External"/><Relationship Id="rId9" Type="http://schemas.openxmlformats.org/officeDocument/2006/relationships/hyperlink" Target="https://www.wiwi2.tu-dortmund.de/wiwi/of/de/einrichtung/aktuell/index.html" TargetMode="External"/><Relationship Id="rId14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17" Type="http://schemas.openxmlformats.org/officeDocument/2006/relationships/hyperlink" Target="https://vvz.ruhr-uni-bochum.de/campus/all/event.asp?objgguid=NEW&amp;from=vvz&amp;gguid=0xF3EACF2404ED471E9243BE7EB5CD3528&amp;mode=own&amp;tguid=0x80B5E42E2E744540BF79A272358D1095&amp;lang=de" TargetMode="External"/><Relationship Id="rId21" Type="http://schemas.openxmlformats.org/officeDocument/2006/relationships/hyperlink" Target="https://www.wiwi.uni-due.de/studium-lehre/informationen-zu-den-modulen/quantitative-modelle-internationaler-wirtschaftsbeziehungen-m513/" TargetMode="External"/><Relationship Id="rId42" Type="http://schemas.openxmlformats.org/officeDocument/2006/relationships/hyperlink" Target="https://www.fiwi.wiwi.uni-due.de/studium-lehre/lehrveranstaltungen/wintersemester-1920/11621/" TargetMode="External"/><Relationship Id="rId63" Type="http://schemas.openxmlformats.org/officeDocument/2006/relationships/hyperlink" Target="https://www.lsf.tu-dortmund.de/qisserver/rds?state=verpublish&amp;status=init&amp;vmfile=no&amp;publishid=216373&amp;moduleCall=webInfo&amp;publishConfFile=webInfo&amp;publishSubDir=veranstaltung" TargetMode="External"/><Relationship Id="rId84" Type="http://schemas.openxmlformats.org/officeDocument/2006/relationships/hyperlink" Target="https://www.statistik.tu-dortmund.de/fileadmin/user_upload/Studium/Vorlesungsverzeichnis/WS2017_18/Kommentierte_VVZ/Komm_Vorlesungsverzeichnis__WS_2017_18_Zeitreihen.pdf" TargetMode="External"/><Relationship Id="rId16" Type="http://schemas.openxmlformats.org/officeDocument/2006/relationships/hyperlink" Target="https://www.wiwi.uni-due.de/studium-lehre/informationen-zu-den-modulen/inequality-in-health-m480/" TargetMode="External"/><Relationship Id="rId107" Type="http://schemas.openxmlformats.org/officeDocument/2006/relationships/hyperlink" Target="https://www.wiwi.uni-due.de/studium-lehre/informationen-zu-den-modulen/advanced-forecasting-in-energy-markets-m796/" TargetMode="External"/><Relationship Id="rId11" Type="http://schemas.openxmlformats.org/officeDocument/2006/relationships/hyperlink" Target="https://www.wiwi.uni-due.de/studium-lehre/informationen-zu-den-modulen/financial-mathematics-m674/" TargetMode="External"/><Relationship Id="rId32" Type="http://schemas.openxmlformats.org/officeDocument/2006/relationships/hyperlink" Target="https://www.statistik.tu-dortmund.de/biometrie-lehre.html" TargetMode="External"/><Relationship Id="rId37" Type="http://schemas.openxmlformats.org/officeDocument/2006/relationships/hyperlink" Target="https://www.goek.wiwi.uni-due.de/studium-lehre/lehrveranstaltungen/sommersemester-19/10840/" TargetMode="External"/><Relationship Id="rId53" Type="http://schemas.openxmlformats.org/officeDocument/2006/relationships/hyperlink" Target="https://www.lsf.tu-dortmund.de/qisserver/rds?state=verpublish&amp;status=init&amp;vmfile=no&amp;publishid=205958&amp;moduleCall=webInfo&amp;publishConfFile=webInfo&amp;publishSubDir=veranstaltung" TargetMode="External"/><Relationship Id="rId58" Type="http://schemas.openxmlformats.org/officeDocument/2006/relationships/hyperlink" Target="https://www.lsf.tu-dortmund.de/qisserver/rds?state=verpublish&amp;status=init&amp;vmfile=no&amp;publishid=216380&amp;moduleCall=webInfo&amp;publishConfFile=webInfo&amp;publishSubDir=veranstaltung" TargetMode="External"/><Relationship Id="rId74" Type="http://schemas.openxmlformats.org/officeDocument/2006/relationships/hyperlink" Target="http://www.wiwi.tu-dortmund.de/wiwi/ae/de/lehre/veranstalt/sose/abc/index.html" TargetMode="External"/><Relationship Id="rId79" Type="http://schemas.openxmlformats.org/officeDocument/2006/relationships/hyperlink" Target="https://www.wiwi.ruhr-uni-bochum.de/mam/content/dekanat/master_mhb_12.11.2020.pdf" TargetMode="External"/><Relationship Id="rId102" Type="http://schemas.openxmlformats.org/officeDocument/2006/relationships/hyperlink" Target="https://www.statistik.tu-dortmund.de/fileadmin/user_upload/Studium/Studiengaenge-Infos/ModHb_MSc_DaSc_2020.pdf" TargetMode="External"/><Relationship Id="rId123" Type="http://schemas.openxmlformats.org/officeDocument/2006/relationships/hyperlink" Target="https://bscw.uaruhr.de/pub/bscw.cgi/262215/teaching.html" TargetMode="External"/><Relationship Id="rId128" Type="http://schemas.openxmlformats.org/officeDocument/2006/relationships/hyperlink" Target="https://www.statistik.tu-dortmund.de/wissen.html" TargetMode="External"/><Relationship Id="rId5" Type="http://schemas.openxmlformats.org/officeDocument/2006/relationships/hyperlink" Target="https://www.qmw.msm.uni-due.de/lehre/lehrveranstaltungen/sommersemester-21/4552/" TargetMode="External"/><Relationship Id="rId90" Type="http://schemas.openxmlformats.org/officeDocument/2006/relationships/hyperlink" Target="http://www.wiwi.tu-dortmund.de/wiwi/de/studium/studiengaenge/wiwi-master-2015/ma-wiwi-2015-modulhandbuch-neu.pdf" TargetMode="External"/><Relationship Id="rId95" Type="http://schemas.openxmlformats.org/officeDocument/2006/relationships/hyperlink" Target="https://www.statistik.tu-dortmund.de/fileadmin/user_upload/Studium/Vorlesungsverzeichnis/WS2017_18/Kommentierte_VVZ/Wagner_Komm._Verz._WS_2017_-_Advanced_Econometrics-1.pdf" TargetMode="External"/><Relationship Id="rId22" Type="http://schemas.openxmlformats.org/officeDocument/2006/relationships/hyperlink" Target="https://www.wiwi.uni-due.de/studium-lehre/informationen-zu-den-modulen/quantitative-modelle-internationaler-wirtschaftsbeziehungen-m513/" TargetMode="External"/><Relationship Id="rId27" Type="http://schemas.openxmlformats.org/officeDocument/2006/relationships/hyperlink" Target="https://www.wiwi.uni-due.de/studium-lehre/informationen-zu-den-modulen/fachseminar-soziale-sicherung-und-besteuerung-empirische-studien-und-eigene-projekte-m597/" TargetMode="External"/><Relationship Id="rId43" Type="http://schemas.openxmlformats.org/officeDocument/2006/relationships/hyperlink" Target="http://www.wiwi.tu-dortmund.de/wiwi/ae/de/lehre/veranstalt/sose/am/index.html" TargetMode="External"/><Relationship Id="rId48" Type="http://schemas.openxmlformats.org/officeDocument/2006/relationships/hyperlink" Target="https://www.lsf.tu-dortmund.de/qisserver/rds?state=verpublish&amp;status=init&amp;vmfile=no&amp;publishid=214257&amp;moduleCall=webInfo&amp;publishConfFile=webInfo&amp;publishSubDir=veranstaltung" TargetMode="External"/><Relationship Id="rId64" Type="http://schemas.openxmlformats.org/officeDocument/2006/relationships/hyperlink" Target="https://www.lsf.tu-dortmund.de/qisserver/rds?state=verpublish&amp;status=init&amp;vmfile=no&amp;publishid=216373&amp;moduleCall=webInfo&amp;publishConfFile=webInfo&amp;publishSubDir=veranstaltung" TargetMode="External"/><Relationship Id="rId69" Type="http://schemas.openxmlformats.org/officeDocument/2006/relationships/hyperlink" Target="https://www.lsf.tu-dortmund.de/qisserver/rds?state=verpublish&amp;status=init&amp;vmfile=no&amp;publishid=225007&amp;moduleCall=webInfo&amp;publishConfFile=webInfo&amp;publishSubDir=veranstaltung" TargetMode="External"/><Relationship Id="rId113" Type="http://schemas.openxmlformats.org/officeDocument/2006/relationships/hyperlink" Target="https://wiwi.tu-dortmund.de/storages/wiwi/r/studiengaenge/wiwi-master/wiwi-master-2019/ma-wiwi-2019-modulhandbuch-neu.pdf" TargetMode="External"/><Relationship Id="rId118" Type="http://schemas.openxmlformats.org/officeDocument/2006/relationships/hyperlink" Target="https://www.wiwi.ruhr-uni-bochum.de/mam/content/dekanat/master_mhb_12.11.2020.pdf" TargetMode="External"/><Relationship Id="rId134" Type="http://schemas.openxmlformats.org/officeDocument/2006/relationships/hyperlink" Target="https://vvz.ruhr-uni-bochum.de/campus/all/event.asp?objgguid=NEW&amp;from=&amp;gguid=0xED43BC2618514FF9B136E408893BCE99&amp;mode=&amp;tguid=0x9A7B3E5DBFE949E6A3541F86071B243D&amp;lang=de" TargetMode="External"/><Relationship Id="rId80" Type="http://schemas.openxmlformats.org/officeDocument/2006/relationships/hyperlink" Target="https://www.wiwi.ruhr-uni-bochum.de/mam/content/dekanat/master_mhb_12.11.2020.pdf" TargetMode="External"/><Relationship Id="rId85" Type="http://schemas.openxmlformats.org/officeDocument/2006/relationships/hyperlink" Target="https://www.lsf.tu-dortmund.de/qisserver/rds?state=verpublish&amp;status=init&amp;vmfile=no&amp;publishid=182545&amp;moduleCall=webInfo&amp;publishConfFile=webInfo&amp;publishSubDir=veranstaltung" TargetMode="External"/><Relationship Id="rId12" Type="http://schemas.openxmlformats.org/officeDocument/2006/relationships/hyperlink" Target="https://www.wiwi.uni-due.de/studium-lehre/informationen-zu-den-modulen/financial-mathematics-m674/" TargetMode="External"/><Relationship Id="rId17" Type="http://schemas.openxmlformats.org/officeDocument/2006/relationships/hyperlink" Target="https://www.oek.wiwi.uni-due.de/studium-lehre/lehrveranstaltungen/wintersemester-1516/7498/" TargetMode="External"/><Relationship Id="rId33" Type="http://schemas.openxmlformats.org/officeDocument/2006/relationships/hyperlink" Target="https://www.lsf.tu-dortmund.de/qisserver/rds?state=verpublish&amp;status=init&amp;vmfile=no&amp;publishid=224693&amp;moduleCall=webInfo&amp;publishConfFile=webInfo&amp;publishSubDir=veranstaltung" TargetMode="External"/><Relationship Id="rId38" Type="http://schemas.openxmlformats.org/officeDocument/2006/relationships/hyperlink" Target="https://www.oek.wiwi.uni-due.de/studium-lehre/lehrveranstaltungen/wintersemester-1920/11311/" TargetMode="External"/><Relationship Id="rId59" Type="http://schemas.openxmlformats.org/officeDocument/2006/relationships/hyperlink" Target="https://www.lsf.tu-dortmund.de/qisserver/rds?state=verpublish&amp;status=init&amp;vmfile=no&amp;publishid=216380&amp;moduleCall=webInfo&amp;publishConfFile=webInfo&amp;publishSubDir=veranstaltung" TargetMode="External"/><Relationship Id="rId103" Type="http://schemas.openxmlformats.org/officeDocument/2006/relationships/hyperlink" Target="https://www.statistik.tu-dortmund.de/fileadmin/user_upload/Studium/Studiengaenge-Infos/ModHb_MSc_DaSc_2020.pdf" TargetMode="External"/><Relationship Id="rId108" Type="http://schemas.openxmlformats.org/officeDocument/2006/relationships/hyperlink" Target="https://www.wiwi.uni-due.de/studium/informationen-zu-den-modulen/econometrics-of-electricity-markets-788/" TargetMode="External"/><Relationship Id="rId124" Type="http://schemas.openxmlformats.org/officeDocument/2006/relationships/hyperlink" Target="https://www.statistik.tu-dortmund.de/wissen.html" TargetMode="External"/><Relationship Id="rId129" Type="http://schemas.openxmlformats.org/officeDocument/2006/relationships/hyperlink" Target="https://www.statistik.tu-dortmund.de/wissen.html" TargetMode="External"/><Relationship Id="rId54" Type="http://schemas.openxmlformats.org/officeDocument/2006/relationships/hyperlink" Target="https://www.lsf.tu-dortmund.de/qisserver/rds?state=verpublish&amp;status=init&amp;vmfile=no&amp;publishid=216376&amp;moduleCall=webInfo&amp;publishConfFile=webInfo&amp;publishSubDir=veranstaltung" TargetMode="External"/><Relationship Id="rId70" Type="http://schemas.openxmlformats.org/officeDocument/2006/relationships/hyperlink" Target="https://www.lef.wiwi.uni-due.de/studium-lehre/lehrveranstaltungen/wintersemester-20-21/fm-12674/" TargetMode="External"/><Relationship Id="rId75" Type="http://schemas.openxmlformats.org/officeDocument/2006/relationships/hyperlink" Target="https://www.wiwi.ruhr-uni-bochum.de/mam/content/dekanat/master_mhb_12.11.2020.pdf" TargetMode="External"/><Relationship Id="rId91" Type="http://schemas.openxmlformats.org/officeDocument/2006/relationships/hyperlink" Target="https://www.statistik.tu-dortmund.de/fileadmin/user_upload/Studium/Vorlesungsverzeichnis/SS2017/Kommentierte_VVZ/KommentiertesVVZ__Blockkurs_Fermin.pdf" TargetMode="External"/><Relationship Id="rId96" Type="http://schemas.openxmlformats.org/officeDocument/2006/relationships/hyperlink" Target="https://vvz.ruhr-uni-bochum.de/campus/all/event.asp?gguid=0xDA5AE524C2A74B25B0225B169340803C&amp;from=&amp;tabID=1&amp;tguid=0xF13C2A4A39064F2295BE2AE837945F8E&amp;objgguid=NEW&amp;lang=de" TargetMode="External"/><Relationship Id="rId1" Type="http://schemas.openxmlformats.org/officeDocument/2006/relationships/hyperlink" Target="https://www.oek.wiwi.uni-due.de/studium-lehre/lehrveranstaltungen/wintersemester-1920/11312/" TargetMode="External"/><Relationship Id="rId6" Type="http://schemas.openxmlformats.org/officeDocument/2006/relationships/hyperlink" Target="http://rgs-econ.org/courses/current/" TargetMode="External"/><Relationship Id="rId23" Type="http://schemas.openxmlformats.org/officeDocument/2006/relationships/hyperlink" Target="https://www.wiwi.uni-due.de/studium-lehre/informationen-zu-den-modulen/neuere-entwicklungen-der-mikrooekonomik-m161/" TargetMode="External"/><Relationship Id="rId28" Type="http://schemas.openxmlformats.org/officeDocument/2006/relationships/hyperlink" Target="https://www.wiwi.uni-due.de/studium/informationen-zu-den-modulen/fortgeschrittene-oekonometrie-75/" TargetMode="External"/><Relationship Id="rId49" Type="http://schemas.openxmlformats.org/officeDocument/2006/relationships/hyperlink" Target="https://www.lsf.tu-dortmund.de/qisserver/rds?state=verpublish&amp;status=init&amp;vmfile=no&amp;publishid=205908&amp;moduleCall=webInfo&amp;publishConfFile=webInfo&amp;publishSubDir=veranstaltung" TargetMode="External"/><Relationship Id="rId114" Type="http://schemas.openxmlformats.org/officeDocument/2006/relationships/hyperlink" Target="https://wiwi.tu-dortmund.de/storages/wiwi/r/studiengaenge/wiwi-master/wiwi-master-2019/ma-wiwi-2019-modulhandbuch-neu.pdf" TargetMode="External"/><Relationship Id="rId119" Type="http://schemas.openxmlformats.org/officeDocument/2006/relationships/hyperlink" Target="https://www.wiwi.uni-due.de/studium/informationen-zu-den-modulen/mikrooekonometrie-178/" TargetMode="External"/><Relationship Id="rId44" Type="http://schemas.openxmlformats.org/officeDocument/2006/relationships/hyperlink" Target="http://www.wiwi.tu-dortmund.de/wiwi/ae/de/lehre/veranstalt/sose/am/index.html" TargetMode="External"/><Relationship Id="rId60" Type="http://schemas.openxmlformats.org/officeDocument/2006/relationships/hyperlink" Target="https://www.lsf.tu-dortmund.de/qisserver/rds?state=verpublish&amp;status=init&amp;vmfile=no&amp;publishid=216380&amp;moduleCall=webInfo&amp;publishConfFile=webInfo&amp;publishSubDir=veranstaltung" TargetMode="External"/><Relationship Id="rId65" Type="http://schemas.openxmlformats.org/officeDocument/2006/relationships/hyperlink" Target="https://www.lsf.tu-dortmund.de/qisserver/rds?state=verpublish&amp;status=init&amp;vmfile=no&amp;publishid=216369&amp;moduleCall=webInfo&amp;publishConfFile=webInfo&amp;publishSubDir=veranstaltung" TargetMode="External"/><Relationship Id="rId81" Type="http://schemas.openxmlformats.org/officeDocument/2006/relationships/hyperlink" Target="https://www.statistik.tu-dortmund.de/fileadmin/user_upload/Studium/Vorlesungsverzeichnis/WS2017_18/Kommentierte_VVZ/Wagner_Komm._Verz._WS_2017_-_Advanced_Econometrics-1.pdf" TargetMode="External"/><Relationship Id="rId86" Type="http://schemas.openxmlformats.org/officeDocument/2006/relationships/hyperlink" Target="https://www.statistik.tu-dortmund.de/fileadmin/user_upload/Studium/Studiengaenge-Infos/Modulhandbuch-Master-Statistik_02.pdf" TargetMode="External"/><Relationship Id="rId130" Type="http://schemas.openxmlformats.org/officeDocument/2006/relationships/hyperlink" Target="https://www.statistik.tu-dortmund.de/wissen.html" TargetMode="External"/><Relationship Id="rId135" Type="http://schemas.openxmlformats.org/officeDocument/2006/relationships/hyperlink" Target="https://www.wiwi.ruhr-uni-bochum.de/statoek/lehre/sose21.html.de" TargetMode="External"/><Relationship Id="rId13" Type="http://schemas.openxmlformats.org/officeDocument/2006/relationships/hyperlink" Target="https://www.wiwi.uni-due.de/studium-lehre/informationen-zu-den-modulen/financial-risk-management-m676/" TargetMode="External"/><Relationship Id="rId18" Type="http://schemas.openxmlformats.org/officeDocument/2006/relationships/hyperlink" Target="https://www.wiwi.uni-due.de/studium-lehre/informationen-zu-den-modulen/fortgeschrittene-oekonometrie-m75/" TargetMode="External"/><Relationship Id="rId39" Type="http://schemas.openxmlformats.org/officeDocument/2006/relationships/hyperlink" Target="https://www.goek.wiwi.uni-due.de/studium-lehre/lehrveranstaltungen/sommersemester-19/10839/" TargetMode="External"/><Relationship Id="rId109" Type="http://schemas.openxmlformats.org/officeDocument/2006/relationships/hyperlink" Target="https://www.wiwi.uni-due.de/studium/informationen-zu-den-modulen/econometrics-of-electricity-markets-788/" TargetMode="External"/><Relationship Id="rId34" Type="http://schemas.openxmlformats.org/officeDocument/2006/relationships/hyperlink" Target="https://www.lsf.tu-dortmund.de/qisserver/rds?state=verpublish&amp;status=init&amp;vmfile=no&amp;publishid=205961&amp;moduleCall=webInfo&amp;publishConfFile=webInfo&amp;publishSubDir=veranstaltung" TargetMode="External"/><Relationship Id="rId50" Type="http://schemas.openxmlformats.org/officeDocument/2006/relationships/hyperlink" Target="https://www.lsf.tu-dortmund.de/qisserver/rds?state=verpublish&amp;status=init&amp;vmfile=no&amp;publishid=205909&amp;moduleCall=webInfo&amp;publishConfFile=webInfo&amp;publishSubDir=veranstaltung" TargetMode="External"/><Relationship Id="rId55" Type="http://schemas.openxmlformats.org/officeDocument/2006/relationships/hyperlink" Target="http://www.wiwi.ruhr-uni-bochum.de/mam/content/dekanat/modulhandbuch__master_-wise_2018_19_21.08.2018.pdf" TargetMode="External"/><Relationship Id="rId76" Type="http://schemas.openxmlformats.org/officeDocument/2006/relationships/hyperlink" Target="https://www.wiwi.ruhr-uni-bochum.de/mam/content/dekanat/master_mhb_12.11.2020.pdf" TargetMode="External"/><Relationship Id="rId97" Type="http://schemas.openxmlformats.org/officeDocument/2006/relationships/hyperlink" Target="https://vvz.ruhr-uni-bochum.de/campus/all/event.asp?gguid=0x2133DD1B5E6F404198A0D2B9CF0576CB&amp;from=vvz&amp;mode=own&amp;tabID=1&amp;tguid=0xF13C2A4A39064F2295BE2AE837945F8E&amp;objgguid=NEW&amp;lang=de" TargetMode="External"/><Relationship Id="rId104" Type="http://schemas.openxmlformats.org/officeDocument/2006/relationships/hyperlink" Target="https://www.lsf.tu-dortmund.de/qisserver/rds?state=verpublish&amp;status=init&amp;vmfile=no&amp;publishid=225221&amp;moduleCall=webInfo&amp;publishConfFile=webInfo&amp;publishSubDir=veranstaltung" TargetMode="External"/><Relationship Id="rId120" Type="http://schemas.openxmlformats.org/officeDocument/2006/relationships/hyperlink" Target="https://www.wiwi.ruhr-uni-bochum.de/mam/content/dekanat/master_mhb_12.11.2020.pdf" TargetMode="External"/><Relationship Id="rId125" Type="http://schemas.openxmlformats.org/officeDocument/2006/relationships/hyperlink" Target="https://www.stat.wiwi.uni-due.de/studium-lehre/lehrveranstaltungen/sommersemester-21/12414/" TargetMode="External"/><Relationship Id="rId7" Type="http://schemas.openxmlformats.org/officeDocument/2006/relationships/hyperlink" Target="https://www.oek.wiwi.uni-due.de/studium-lehre/lehrveranstaltungen/wintersemester-1718/9065/" TargetMode="External"/><Relationship Id="rId71" Type="http://schemas.openxmlformats.org/officeDocument/2006/relationships/hyperlink" Target="http://www.wiwi.tu-dortmund.de/wiwi/mik/de/lehre/veranstalt/ws_18_19/Game-Theory/index.html" TargetMode="External"/><Relationship Id="rId92" Type="http://schemas.openxmlformats.org/officeDocument/2006/relationships/hyperlink" Target="https://www.statistik.tu-dortmund.de/fileadmin/user_upload/Studium/Vorlesungsverzeichnis/SS2017/Kommentierte_VVZ/KommentiertesVVZ__Blockkurs_Fermin.pdf" TargetMode="External"/><Relationship Id="rId2" Type="http://schemas.openxmlformats.org/officeDocument/2006/relationships/hyperlink" Target="https://www.wiwi.uni-due.de/studium-lehre/informationen-zu-den-modulen/entscheidungstheorie-m174/" TargetMode="External"/><Relationship Id="rId29" Type="http://schemas.openxmlformats.org/officeDocument/2006/relationships/hyperlink" Target="https://www.statistik.tu-dortmund.de/biometrie-lehre.html" TargetMode="External"/><Relationship Id="rId24" Type="http://schemas.openxmlformats.org/officeDocument/2006/relationships/hyperlink" Target="https://campus.uni-due.de/lsf/rds?state=verpublish&amp;status=init&amp;vmfile=no&amp;publishid=261661&amp;moduleCall=webInfo&amp;publishConfFile=webInfo&amp;publishSubDir=veranstaltung" TargetMode="External"/><Relationship Id="rId40" Type="http://schemas.openxmlformats.org/officeDocument/2006/relationships/hyperlink" Target="https://www.oek.wiwi.uni-due.de/studium-lehre/lehrveranstaltungen/wintersemester-1920/11648/" TargetMode="External"/><Relationship Id="rId45" Type="http://schemas.openxmlformats.org/officeDocument/2006/relationships/hyperlink" Target="http://www.wiwi.tu-dortmund.de/wiwi/ae/de/lehre/veranstalt/ws/ame/index.html" TargetMode="External"/><Relationship Id="rId66" Type="http://schemas.openxmlformats.org/officeDocument/2006/relationships/hyperlink" Target="https://www.lsf.tu-dortmund.de/qisserver/rds?state=verpublish&amp;status=init&amp;vmfile=no&amp;publishid=218416&amp;moduleCall=webInfo&amp;publishConfFile=webInfo&amp;publishSubDir=veranstaltung" TargetMode="External"/><Relationship Id="rId87" Type="http://schemas.openxmlformats.org/officeDocument/2006/relationships/hyperlink" Target="https://www.statistik.tu-dortmund.de/fileadmin/user_upload/Studium/Vorlesungsverzeichnis/SS2017/Kommentierte_VVZ/KommVVZ_2017_Robuste_Statistik.pdf" TargetMode="External"/><Relationship Id="rId110" Type="http://schemas.openxmlformats.org/officeDocument/2006/relationships/hyperlink" Target="https://www.wiwi.uni-due.de/studium/informationen-zu-den-modulen/stichprobentheorie-509/" TargetMode="External"/><Relationship Id="rId115" Type="http://schemas.openxmlformats.org/officeDocument/2006/relationships/hyperlink" Target="https://wiwi.tu-dortmund.de/storages/wiwi/r/studiengaenge/wiwi-master/wiwi-master-2019/ma-wiwi-2019-modulhandbuch-neu.pdf" TargetMode="External"/><Relationship Id="rId131" Type="http://schemas.openxmlformats.org/officeDocument/2006/relationships/hyperlink" Target="https://www.uee.wiwi.uni-due.de/studium-lehre/sommersemester-20/12211/" TargetMode="External"/><Relationship Id="rId136" Type="http://schemas.openxmlformats.org/officeDocument/2006/relationships/printerSettings" Target="../printerSettings/printerSettings2.bin"/><Relationship Id="rId61" Type="http://schemas.openxmlformats.org/officeDocument/2006/relationships/hyperlink" Target="https://www.lsf.tu-dortmund.de/qisserver/rds?state=verpublish&amp;status=init&amp;vmfile=no&amp;publishid=225221&amp;moduleCall=webInfo&amp;publishConfFile=webInfo&amp;publishSubDir=veranstaltung" TargetMode="External"/><Relationship Id="rId82" Type="http://schemas.openxmlformats.org/officeDocument/2006/relationships/hyperlink" Target="https://www.lsf.tu-dortmund.de/qisserver/rds?state=verpublish&amp;status=init&amp;vmfile=no&amp;publishid=201920&amp;moduleCall=webInfo&amp;publishConfFile=webInfo&amp;publishSubDir=veranstaltung" TargetMode="External"/><Relationship Id="rId19" Type="http://schemas.openxmlformats.org/officeDocument/2006/relationships/hyperlink" Target="https://www.oek.wiwi.uni-due.de/studium-lehre/lehrveranstaltungen/wintersemester-1516/7499/" TargetMode="External"/><Relationship Id="rId14" Type="http://schemas.openxmlformats.org/officeDocument/2006/relationships/hyperlink" Target="https://www.wiwi.uni-due.de/studium-lehre/informationen-zu-den-modulen/financial-risk-management-m676/" TargetMode="External"/><Relationship Id="rId30" Type="http://schemas.openxmlformats.org/officeDocument/2006/relationships/hyperlink" Target="https://www.statistik.tu-dortmund.de/biometrie-lehre.html" TargetMode="External"/><Relationship Id="rId35" Type="http://schemas.openxmlformats.org/officeDocument/2006/relationships/hyperlink" Target="https://www.lsf.tu-dortmund.de/qisserver/rds?state=verpublish&amp;status=init&amp;vmfile=no&amp;publishid=213137&amp;moduleCall=webInfo&amp;publishConfFile=webInfo&amp;publishSubDir=veranstaltung" TargetMode="External"/><Relationship Id="rId56" Type="http://schemas.openxmlformats.org/officeDocument/2006/relationships/hyperlink" Target="https://www.wiwi.uni-due.de/studium/informationen-zu-den-modulen/neuere-entwicklungen-der-oekonometrie-m163/" TargetMode="External"/><Relationship Id="rId77" Type="http://schemas.openxmlformats.org/officeDocument/2006/relationships/hyperlink" Target="https://www.wiwi.ruhr-uni-bochum.de/mam/content/dekanat/master_mhb_12.11.2020.pdf" TargetMode="External"/><Relationship Id="rId100" Type="http://schemas.openxmlformats.org/officeDocument/2006/relationships/hyperlink" Target="http://www.statistik.uni-dortmund.de/unitroot.html" TargetMode="External"/><Relationship Id="rId105" Type="http://schemas.openxmlformats.org/officeDocument/2006/relationships/hyperlink" Target="https://www.lsf.tu-dortmund.de/qisserver/rds?state=verpublish&amp;status=init&amp;vmfile=no&amp;publishid=224780&amp;moduleCall=webInfo&amp;publishConfFile=webInfo&amp;publishSubDir=veranstaltung" TargetMode="External"/><Relationship Id="rId126" Type="http://schemas.openxmlformats.org/officeDocument/2006/relationships/hyperlink" Target="https://vvz.ruhr-uni-bochum.de/campus/all/event.asp?objgguid=NEW&amp;from=vvz&amp;gguid=0x272B34AAFB7F4E00B974F6DABBE823C5&amp;mode=own&amp;tguid=0x9A7B3E5DBFE949E6A3541F86071B243D&amp;lang=de" TargetMode="External"/><Relationship Id="rId8" Type="http://schemas.openxmlformats.org/officeDocument/2006/relationships/hyperlink" Target="https://www.wiwi.uni-due.de/studium-lehre/informationen-zu-den-modulen/fortgeschrittene-oekonometrie-m75/" TargetMode="External"/><Relationship Id="rId51" Type="http://schemas.openxmlformats.org/officeDocument/2006/relationships/hyperlink" Target="https://www.lsf.tu-dortmund.de/qisserver/rds?state=verpublish&amp;status=init&amp;vmfile=no&amp;publishid=214253&amp;moduleCall=webInfo&amp;publishConfFile=webInfo&amp;publishSubDir=veranstaltung" TargetMode="External"/><Relationship Id="rId72" Type="http://schemas.openxmlformats.org/officeDocument/2006/relationships/hyperlink" Target="https://www.statistik.tu-dortmund.de/advecx-17181.html" TargetMode="External"/><Relationship Id="rId93" Type="http://schemas.openxmlformats.org/officeDocument/2006/relationships/hyperlink" Target="https://www.statistik.tu-dortmund.de/fileadmin/user_upload/Studium/Vorlesungsverzeichnis/SS2017/Kommentierte_VVZ/KommentiertesVVZ__Blockkurs_Fermin.pdf" TargetMode="External"/><Relationship Id="rId98" Type="http://schemas.openxmlformats.org/officeDocument/2006/relationships/hyperlink" Target="https://vvz.ruhr-uni-bochum.de/campus/all/event.asp?objgguid=NEW&amp;from=vvz&amp;gguid=0x8411D27FA689480FB3BA72B4F6DD355B&amp;mode=own&amp;tguid=0x80B5E42E2E744540BF79A272358D1095&amp;lang=de" TargetMode="External"/><Relationship Id="rId121" Type="http://schemas.openxmlformats.org/officeDocument/2006/relationships/hyperlink" Target="https://www.wiwi.ruhr-uni-bochum.de/mam/content/dekanat/master_mhb_12.11.2020.pdf" TargetMode="External"/><Relationship Id="rId3" Type="http://schemas.openxmlformats.org/officeDocument/2006/relationships/hyperlink" Target="https://www.wiwi.uni-due.de/studium-lehre/informationen-zu-den-modulen/entscheidungstheorie-m174/" TargetMode="External"/><Relationship Id="rId25" Type="http://schemas.openxmlformats.org/officeDocument/2006/relationships/hyperlink" Target="https://campus.uni-due.de/lsf/rds?state=verpublish&amp;status=init&amp;vmfile=no&amp;publishid=260987&amp;moduleCall=webInfo&amp;publishConfFile=webInfo&amp;publishSubDir=veranstaltung" TargetMode="External"/><Relationship Id="rId46" Type="http://schemas.openxmlformats.org/officeDocument/2006/relationships/hyperlink" Target="https://www.lsf.tu-dortmund.de/qisserver/rds?state=verpublish&amp;status=init&amp;vmfile=no&amp;publishid=224694&amp;moduleCall=webInfo&amp;publishConfFile=webInfo&amp;publishSubDir=veranstaltung" TargetMode="External"/><Relationship Id="rId67" Type="http://schemas.openxmlformats.org/officeDocument/2006/relationships/hyperlink" Target="https://www.mikro.wiwi.uni-due.de/studium-lehre/veranstaltungsuebersicht/wintersemester-20-21/12713/" TargetMode="External"/><Relationship Id="rId116" Type="http://schemas.openxmlformats.org/officeDocument/2006/relationships/hyperlink" Target="https://wiwi.tu-dortmund.de/storages/wiwi/r/studiengaenge/wiwi-master/wiwi-master-2019/ma-wiwi-2019-modulhandbuch-neu.pdf" TargetMode="External"/><Relationship Id="rId20" Type="http://schemas.openxmlformats.org/officeDocument/2006/relationships/hyperlink" Target="https://www.wiwi.uni-due.de/studium-lehre/informationen-zu-den-modulen/fortgeschrittene-oekonometrie-m75/" TargetMode="External"/><Relationship Id="rId41" Type="http://schemas.openxmlformats.org/officeDocument/2006/relationships/hyperlink" Target="https://www.mikro.wiwi.uni-due.de/studium-lehre/veranstaltungsuebersicht/wintersemester-1920/11076/" TargetMode="External"/><Relationship Id="rId62" Type="http://schemas.openxmlformats.org/officeDocument/2006/relationships/hyperlink" Target="https://www.lsf.tu-dortmund.de/qisserver/rds?state=verpublish&amp;status=init&amp;vmfile=no&amp;publishid=225216&amp;moduleCall=webInfo&amp;publishConfFile=webInfo&amp;publishSubDir=veranstaltung" TargetMode="External"/><Relationship Id="rId83" Type="http://schemas.openxmlformats.org/officeDocument/2006/relationships/hyperlink" Target="https://www.statistik.tu-dortmund.de/fileadmin/user_upload/Studium/Vorlesungsverzeichnis/WS2017_18/Kommentierte_VVZ/Komm_Vorlesungsverzeichnis__WS_2017_18_Zeitreihen.pdf" TargetMode="External"/><Relationship Id="rId88" Type="http://schemas.openxmlformats.org/officeDocument/2006/relationships/hyperlink" Target="https://www.statistik.tu-dortmund.de/fileadmin/user_upload/Studium/Vorlesungsverzeichnis/SS2017/Kommentierte_VVZ/KommVVZ_2017_Robuste_Statistik.pdf" TargetMode="External"/><Relationship Id="rId111" Type="http://schemas.openxmlformats.org/officeDocument/2006/relationships/hyperlink" Target="https://www.statistik.tu-dortmund.de/fileadmin/user_upload/Studium/Vorlesungsverzeichnis/WS2017_18/Kommentierte_VVZ/Komm_Vorlesungsverzeichnis__WS_2017_18_Zeitreihen.pdf" TargetMode="External"/><Relationship Id="rId132" Type="http://schemas.openxmlformats.org/officeDocument/2006/relationships/hyperlink" Target="https://www.uee.wiwi.uni-due.de/studium-lehre/sommersemester-21/13269/" TargetMode="External"/><Relationship Id="rId15" Type="http://schemas.openxmlformats.org/officeDocument/2006/relationships/hyperlink" Target="https://www.wiwi.uni-due.de/studium-lehre/informationen-zu-den-modulen/inequality-in-health-m480/" TargetMode="External"/><Relationship Id="rId36" Type="http://schemas.openxmlformats.org/officeDocument/2006/relationships/hyperlink" Target="https://www.lsf.tu-dortmund.de/qisserver/rds?state=verpublish&amp;status=init&amp;vmfile=no&amp;publishid=201920&amp;moduleCall=webInfo&amp;publishConfFile=webInfo&amp;publishSubDir=veranstaltung" TargetMode="External"/><Relationship Id="rId57" Type="http://schemas.openxmlformats.org/officeDocument/2006/relationships/hyperlink" Target="https://www.wiwi.uni-due.de/studium/informationen-zu-den-modulen/neuere-entwicklungen-der-oekonometrie-m163/" TargetMode="External"/><Relationship Id="rId106" Type="http://schemas.openxmlformats.org/officeDocument/2006/relationships/hyperlink" Target="https://www.wiwi.uni-due.de/studium/informationen-zu-den-modulen/practising-econometric-research-889/" TargetMode="External"/><Relationship Id="rId127" Type="http://schemas.openxmlformats.org/officeDocument/2006/relationships/hyperlink" Target="https://vvz.ruhr-uni-bochum.de/campus/all/event.asp?objgguid=NEW&amp;from=vvz&amp;gguid=0x8ED59477C5274E328887E8AF946E7826&amp;mode=own&amp;tguid=0x9A7B3E5DBFE949E6A3541F86071B243D&amp;lang=de" TargetMode="External"/><Relationship Id="rId10" Type="http://schemas.openxmlformats.org/officeDocument/2006/relationships/hyperlink" Target="https://www.wiwi.uni-due.de/studium-lehre/informationen-zu-den-modulen/fortgeschrittene-oekonometrie-m75/" TargetMode="External"/><Relationship Id="rId31" Type="http://schemas.openxmlformats.org/officeDocument/2006/relationships/hyperlink" Target="https://www.statistik.tu-dortmund.de/biometrie-lehre.html" TargetMode="External"/><Relationship Id="rId52" Type="http://schemas.openxmlformats.org/officeDocument/2006/relationships/hyperlink" Target="https://www.lsf.tu-dortmund.de/qisserver/rds?state=verpublish&amp;status=init&amp;vmfile=no&amp;publishid=205959&amp;moduleCall=webInfo&amp;publishConfFile=webInfo&amp;publishSubDir=veranstaltung" TargetMode="External"/><Relationship Id="rId73" Type="http://schemas.openxmlformats.org/officeDocument/2006/relationships/hyperlink" Target="https://www.statistik.tu-dortmund.de/advecx-17181.html" TargetMode="External"/><Relationship Id="rId78" Type="http://schemas.openxmlformats.org/officeDocument/2006/relationships/hyperlink" Target="https://www.wiwi.ruhr-uni-bochum.de/mam/content/dekanat/master_mhb_12.11.2020.pdf" TargetMode="External"/><Relationship Id="rId94" Type="http://schemas.openxmlformats.org/officeDocument/2006/relationships/hyperlink" Target="https://www.statistik.tu-dortmund.de/fileadmin/user_upload/Studium/Vorlesungsverzeichnis/SS2017/Kommentierte_VVZ/KommentiertesVVZ__Blockkurs_Fermin.pdf" TargetMode="External"/><Relationship Id="rId99" Type="http://schemas.openxmlformats.org/officeDocument/2006/relationships/hyperlink" Target="https://vvz.ruhr-uni-bochum.de/campus/all/event.asp?gguid=0xE55840A4B20E4A35825DE5169C656B46&amp;from=vvz&amp;mode=own&amp;tabID=1&amp;tguid=0x80B5E42E2E744540BF79A272358D1095&amp;objgguid=NEW&amp;lang=de" TargetMode="External"/><Relationship Id="rId101" Type="http://schemas.openxmlformats.org/officeDocument/2006/relationships/hyperlink" Target="https://wiwi.tu-dortmund.de/storages/wiwi/r/studiengaenge/wiwi-master/wiwi-master-2019/ma-wiwi-2019-modulhandbuch-neu.pdf" TargetMode="External"/><Relationship Id="rId122" Type="http://schemas.openxmlformats.org/officeDocument/2006/relationships/hyperlink" Target="https://www.wiwi.uni-due.de/studium/informationen-zu-den-modulen/econometrics-of-electricity-markets-788/" TargetMode="External"/><Relationship Id="rId4" Type="http://schemas.openxmlformats.org/officeDocument/2006/relationships/hyperlink" Target="http://rgs-econ.org/courses/current/" TargetMode="External"/><Relationship Id="rId9" Type="http://schemas.openxmlformats.org/officeDocument/2006/relationships/hyperlink" Target="https://www.oek.wiwi.uni-due.de/studium-lehre/lehrveranstaltungen/wintersemester-1718/9064/" TargetMode="External"/><Relationship Id="rId26" Type="http://schemas.openxmlformats.org/officeDocument/2006/relationships/hyperlink" Target="https://www.wiwi.uni-due.de/studium-lehre/informationen-zu-den-modulen/fachseminar-oekonometrische-methoden-m642/" TargetMode="External"/><Relationship Id="rId47" Type="http://schemas.openxmlformats.org/officeDocument/2006/relationships/hyperlink" Target="https://www.lsf.tu-dortmund.de/qisserver/rds?state=verpublish&amp;status=init&amp;vmfile=no&amp;publishid=214260&amp;moduleCall=webInfo&amp;publishConfFile=webInfo&amp;publishSubDir=veranstaltung" TargetMode="External"/><Relationship Id="rId68" Type="http://schemas.openxmlformats.org/officeDocument/2006/relationships/hyperlink" Target="https://www.mikro.wiwi.uni-due.de/studium-lehre/veranstaltungsuebersicht/wintersemester-20-21/12712/" TargetMode="External"/><Relationship Id="rId89" Type="http://schemas.openxmlformats.org/officeDocument/2006/relationships/hyperlink" Target="https://wiwi.tu-dortmund.de/storages/wiwi/r/studiengaenge/wiwi-master/wiwi-master-2019/ma-wiwi-2019-modulhandbuch-neu.pdf" TargetMode="External"/><Relationship Id="rId112" Type="http://schemas.openxmlformats.org/officeDocument/2006/relationships/hyperlink" Target="https://wiwi.tu-dortmund.de/storages/wiwi/r/studiengaenge/wiwi-master/wiwi-master-2019/ma-wiwi-2019-modulhandbuch-neu.pdf" TargetMode="External"/><Relationship Id="rId133" Type="http://schemas.openxmlformats.org/officeDocument/2006/relationships/hyperlink" Target="http://rgs-econ.org/courses/current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V106"/>
  <sheetViews>
    <sheetView zoomScaleNormal="60" workbookViewId="0">
      <pane ySplit="1" topLeftCell="A7" activePane="bottomLeft" state="frozen"/>
      <selection pane="bottomLeft" activeCell="C18" sqref="C18"/>
    </sheetView>
  </sheetViews>
  <sheetFormatPr baseColWidth="10" defaultColWidth="8.83203125" defaultRowHeight="13" x14ac:dyDescent="0.15"/>
  <cols>
    <col min="1" max="1" width="37.1640625" style="1" bestFit="1" customWidth="1"/>
    <col min="2" max="2" width="41.1640625" style="1" bestFit="1" customWidth="1"/>
    <col min="3" max="3" width="72.33203125" style="1" bestFit="1" customWidth="1"/>
    <col min="4" max="1010" width="10.5" style="1" customWidth="1"/>
  </cols>
  <sheetData>
    <row r="1" spans="1:3" s="3" customFormat="1" ht="65" customHeight="1" x14ac:dyDescent="0.15">
      <c r="A1" s="2" t="s">
        <v>48</v>
      </c>
      <c r="B1" s="2" t="s">
        <v>419</v>
      </c>
      <c r="C1" s="5" t="s">
        <v>420</v>
      </c>
    </row>
    <row r="2" spans="1:3" s="4" customFormat="1" ht="65" customHeight="1" x14ac:dyDescent="0.15">
      <c r="A2" s="10" t="s">
        <v>174</v>
      </c>
      <c r="B2" s="10" t="s">
        <v>421</v>
      </c>
      <c r="C2" s="10" t="s">
        <v>422</v>
      </c>
    </row>
    <row r="3" spans="1:3" s="4" customFormat="1" ht="65" customHeight="1" x14ac:dyDescent="0.15">
      <c r="A3" s="10" t="s">
        <v>428</v>
      </c>
      <c r="B3" s="10" t="s">
        <v>423</v>
      </c>
      <c r="C3" s="10" t="s">
        <v>424</v>
      </c>
    </row>
    <row r="4" spans="1:3" s="4" customFormat="1" ht="65" customHeight="1" x14ac:dyDescent="0.15">
      <c r="A4" s="10" t="s">
        <v>377</v>
      </c>
      <c r="B4" s="10" t="s">
        <v>429</v>
      </c>
      <c r="C4" s="10" t="s">
        <v>430</v>
      </c>
    </row>
    <row r="5" spans="1:3" s="4" customFormat="1" ht="65" customHeight="1" x14ac:dyDescent="0.15">
      <c r="A5" s="10" t="s">
        <v>204</v>
      </c>
      <c r="B5" s="23" t="s">
        <v>498</v>
      </c>
      <c r="C5" s="10" t="s">
        <v>499</v>
      </c>
    </row>
    <row r="6" spans="1:3" s="4" customFormat="1" ht="65" customHeight="1" x14ac:dyDescent="0.15">
      <c r="A6" s="10" t="s">
        <v>208</v>
      </c>
      <c r="B6" s="10" t="s">
        <v>433</v>
      </c>
      <c r="C6" s="10" t="s">
        <v>434</v>
      </c>
    </row>
    <row r="7" spans="1:3" s="4" customFormat="1" ht="65" customHeight="1" x14ac:dyDescent="0.15">
      <c r="A7" s="10" t="s">
        <v>246</v>
      </c>
      <c r="B7" s="10" t="s">
        <v>436</v>
      </c>
      <c r="C7" s="10" t="s">
        <v>435</v>
      </c>
    </row>
    <row r="8" spans="1:3" s="4" customFormat="1" ht="65" customHeight="1" x14ac:dyDescent="0.15">
      <c r="A8" s="10" t="s">
        <v>215</v>
      </c>
      <c r="B8" s="10" t="s">
        <v>441</v>
      </c>
      <c r="C8" s="10" t="s">
        <v>442</v>
      </c>
    </row>
    <row r="9" spans="1:3" s="4" customFormat="1" ht="65" customHeight="1" x14ac:dyDescent="0.15">
      <c r="A9" s="10" t="s">
        <v>483</v>
      </c>
      <c r="B9" s="10" t="s">
        <v>444</v>
      </c>
      <c r="C9" s="10" t="s">
        <v>445</v>
      </c>
    </row>
    <row r="10" spans="1:3" s="4" customFormat="1" ht="65" customHeight="1" x14ac:dyDescent="0.15">
      <c r="A10" s="10" t="s">
        <v>331</v>
      </c>
      <c r="B10" s="10" t="s">
        <v>448</v>
      </c>
      <c r="C10" s="10" t="s">
        <v>561</v>
      </c>
    </row>
    <row r="11" spans="1:3" s="4" customFormat="1" ht="65" customHeight="1" x14ac:dyDescent="0.15">
      <c r="A11" s="10" t="s">
        <v>199</v>
      </c>
      <c r="B11" s="10" t="s">
        <v>455</v>
      </c>
      <c r="C11" s="10" t="s">
        <v>456</v>
      </c>
    </row>
    <row r="12" spans="1:3" s="4" customFormat="1" ht="65" customHeight="1" x14ac:dyDescent="0.15">
      <c r="A12" s="10" t="s">
        <v>234</v>
      </c>
      <c r="B12" s="10" t="s">
        <v>462</v>
      </c>
      <c r="C12" s="10" t="s">
        <v>461</v>
      </c>
    </row>
    <row r="13" spans="1:3" s="4" customFormat="1" ht="65" customHeight="1" x14ac:dyDescent="0.15">
      <c r="A13" s="10" t="s">
        <v>238</v>
      </c>
      <c r="B13" s="10" t="s">
        <v>463</v>
      </c>
      <c r="C13" s="10" t="s">
        <v>464</v>
      </c>
    </row>
    <row r="14" spans="1:3" s="4" customFormat="1" ht="65" customHeight="1" x14ac:dyDescent="0.15">
      <c r="A14" s="10" t="s">
        <v>252</v>
      </c>
      <c r="B14" s="10" t="s">
        <v>468</v>
      </c>
      <c r="C14" s="10" t="s">
        <v>562</v>
      </c>
    </row>
    <row r="15" spans="1:3" s="58" customFormat="1" ht="65" customHeight="1" x14ac:dyDescent="0.15">
      <c r="A15" s="57" t="s">
        <v>478</v>
      </c>
      <c r="B15" s="57" t="s">
        <v>525</v>
      </c>
      <c r="C15" s="57" t="s">
        <v>461</v>
      </c>
    </row>
    <row r="16" spans="1:3" s="4" customFormat="1" ht="65" customHeight="1" x14ac:dyDescent="0.15">
      <c r="A16" s="10" t="s">
        <v>524</v>
      </c>
      <c r="B16" s="10" t="s">
        <v>525</v>
      </c>
      <c r="C16" s="10" t="s">
        <v>526</v>
      </c>
    </row>
    <row r="17" spans="1:3" s="4" customFormat="1" ht="65" customHeight="1" x14ac:dyDescent="0.15">
      <c r="A17" s="11" t="s">
        <v>361</v>
      </c>
      <c r="B17" s="11" t="s">
        <v>425</v>
      </c>
      <c r="C17" s="51" t="s">
        <v>563</v>
      </c>
    </row>
    <row r="18" spans="1:3" s="4" customFormat="1" ht="65" customHeight="1" x14ac:dyDescent="0.15">
      <c r="A18" s="12" t="s">
        <v>268</v>
      </c>
      <c r="B18" s="12" t="s">
        <v>431</v>
      </c>
      <c r="C18" s="66" t="s">
        <v>432</v>
      </c>
    </row>
    <row r="19" spans="1:3" s="4" customFormat="1" ht="65" customHeight="1" x14ac:dyDescent="0.15">
      <c r="A19" s="11" t="s">
        <v>71</v>
      </c>
      <c r="B19" s="11" t="s">
        <v>427</v>
      </c>
      <c r="C19" s="51" t="s">
        <v>426</v>
      </c>
    </row>
    <row r="20" spans="1:3" s="4" customFormat="1" ht="65" customHeight="1" x14ac:dyDescent="0.15">
      <c r="A20" s="11" t="s">
        <v>79</v>
      </c>
      <c r="B20" s="11" t="s">
        <v>438</v>
      </c>
      <c r="C20" s="51" t="s">
        <v>437</v>
      </c>
    </row>
    <row r="21" spans="1:3" s="4" customFormat="1" ht="65" customHeight="1" x14ac:dyDescent="0.15">
      <c r="A21" s="12" t="s">
        <v>272</v>
      </c>
      <c r="B21" s="12" t="s">
        <v>439</v>
      </c>
      <c r="C21" s="52" t="s">
        <v>440</v>
      </c>
    </row>
    <row r="22" spans="1:3" s="4" customFormat="1" ht="65" customHeight="1" x14ac:dyDescent="0.15">
      <c r="A22" s="12" t="s">
        <v>275</v>
      </c>
      <c r="B22" s="12" t="s">
        <v>467</v>
      </c>
      <c r="C22" s="52" t="s">
        <v>443</v>
      </c>
    </row>
    <row r="23" spans="1:3" s="4" customFormat="1" ht="65" customHeight="1" x14ac:dyDescent="0.15">
      <c r="A23" s="11" t="s">
        <v>296</v>
      </c>
      <c r="B23" s="11" t="s">
        <v>446</v>
      </c>
      <c r="C23" s="51" t="s">
        <v>447</v>
      </c>
    </row>
    <row r="24" spans="1:3" s="4" customFormat="1" ht="65" customHeight="1" x14ac:dyDescent="0.15">
      <c r="A24" s="11" t="s">
        <v>99</v>
      </c>
      <c r="B24" s="11" t="s">
        <v>449</v>
      </c>
      <c r="C24" s="51" t="s">
        <v>450</v>
      </c>
    </row>
    <row r="25" spans="1:3" s="4" customFormat="1" ht="65" customHeight="1" x14ac:dyDescent="0.15">
      <c r="A25" s="11" t="s">
        <v>86</v>
      </c>
      <c r="B25" s="11" t="s">
        <v>452</v>
      </c>
      <c r="C25" s="51" t="s">
        <v>451</v>
      </c>
    </row>
    <row r="26" spans="1:3" s="4" customFormat="1" ht="65" customHeight="1" x14ac:dyDescent="0.15">
      <c r="A26" s="11" t="s">
        <v>128</v>
      </c>
      <c r="B26" s="11" t="s">
        <v>453</v>
      </c>
      <c r="C26" s="51" t="s">
        <v>454</v>
      </c>
    </row>
    <row r="27" spans="1:3" s="4" customFormat="1" ht="65" customHeight="1" x14ac:dyDescent="0.15">
      <c r="A27" s="11" t="s">
        <v>111</v>
      </c>
      <c r="B27" s="11" t="s">
        <v>457</v>
      </c>
      <c r="C27" s="51" t="s">
        <v>458</v>
      </c>
    </row>
    <row r="28" spans="1:3" s="4" customFormat="1" ht="65" customHeight="1" x14ac:dyDescent="0.15">
      <c r="A28" s="11" t="s">
        <v>124</v>
      </c>
      <c r="B28" s="11" t="s">
        <v>459</v>
      </c>
      <c r="C28" s="51" t="s">
        <v>460</v>
      </c>
    </row>
    <row r="29" spans="1:3" s="4" customFormat="1" ht="65" customHeight="1" x14ac:dyDescent="0.15">
      <c r="A29" s="12" t="s">
        <v>474</v>
      </c>
      <c r="B29" s="12" t="s">
        <v>475</v>
      </c>
      <c r="C29" s="52" t="s">
        <v>476</v>
      </c>
    </row>
    <row r="30" spans="1:3" s="4" customFormat="1" ht="65" customHeight="1" x14ac:dyDescent="0.15">
      <c r="A30" s="12" t="s">
        <v>282</v>
      </c>
      <c r="B30" s="12" t="s">
        <v>465</v>
      </c>
      <c r="C30" s="52" t="s">
        <v>466</v>
      </c>
    </row>
    <row r="31" spans="1:3" s="4" customFormat="1" ht="65" customHeight="1" x14ac:dyDescent="0.15">
      <c r="A31" s="12" t="s">
        <v>288</v>
      </c>
      <c r="B31" s="12" t="s">
        <v>439</v>
      </c>
      <c r="C31" s="52" t="s">
        <v>440</v>
      </c>
    </row>
    <row r="32" spans="1:3" s="1" customFormat="1" ht="65" customHeight="1" x14ac:dyDescent="0.15">
      <c r="A32" s="11" t="s">
        <v>170</v>
      </c>
      <c r="B32" s="11" t="s">
        <v>469</v>
      </c>
      <c r="C32" s="11" t="s">
        <v>473</v>
      </c>
    </row>
    <row r="33" spans="1:3" s="1" customFormat="1" ht="65" customHeight="1" x14ac:dyDescent="0.15">
      <c r="A33" s="11" t="s">
        <v>528</v>
      </c>
      <c r="B33" s="11" t="s">
        <v>529</v>
      </c>
      <c r="C33" s="11" t="s">
        <v>530</v>
      </c>
    </row>
    <row r="34" spans="1:3" s="1" customFormat="1" ht="65" customHeight="1" x14ac:dyDescent="0.15">
      <c r="A34" s="11" t="s">
        <v>531</v>
      </c>
      <c r="B34" s="11" t="s">
        <v>532</v>
      </c>
      <c r="C34" s="11" t="s">
        <v>533</v>
      </c>
    </row>
    <row r="35" spans="1:3" s="1" customFormat="1" ht="65" customHeight="1" x14ac:dyDescent="0.15">
      <c r="A35"/>
      <c r="B35"/>
      <c r="C35"/>
    </row>
    <row r="36" spans="1:3" s="1" customFormat="1" ht="65" customHeight="1" x14ac:dyDescent="0.15">
      <c r="A36"/>
      <c r="B36"/>
      <c r="C36"/>
    </row>
    <row r="37" spans="1:3" s="1" customFormat="1" ht="65" customHeight="1" x14ac:dyDescent="0.15">
      <c r="A37"/>
      <c r="B37"/>
      <c r="C37"/>
    </row>
    <row r="38" spans="1:3" s="1" customFormat="1" ht="65" customHeight="1" x14ac:dyDescent="0.15">
      <c r="A38"/>
      <c r="B38"/>
      <c r="C38"/>
    </row>
    <row r="39" spans="1:3" s="1" customFormat="1" ht="65" customHeight="1" x14ac:dyDescent="0.15">
      <c r="A39"/>
      <c r="B39"/>
      <c r="C39"/>
    </row>
    <row r="40" spans="1:3" s="1" customFormat="1" ht="65" customHeight="1" x14ac:dyDescent="0.15">
      <c r="A40"/>
      <c r="B40"/>
      <c r="C40"/>
    </row>
    <row r="41" spans="1:3" s="1" customFormat="1" ht="65" customHeight="1" x14ac:dyDescent="0.15">
      <c r="A41"/>
      <c r="B41"/>
      <c r="C41"/>
    </row>
    <row r="42" spans="1:3" s="1" customFormat="1" ht="65" customHeight="1" x14ac:dyDescent="0.15">
      <c r="A42"/>
      <c r="B42"/>
      <c r="C42"/>
    </row>
    <row r="43" spans="1:3" s="1" customFormat="1" ht="65" customHeight="1" x14ac:dyDescent="0.15">
      <c r="A43"/>
      <c r="B43"/>
      <c r="C43"/>
    </row>
    <row r="44" spans="1:3" s="1" customFormat="1" ht="65" customHeight="1" x14ac:dyDescent="0.15">
      <c r="A44"/>
      <c r="B44"/>
      <c r="C44"/>
    </row>
    <row r="45" spans="1:3" s="1" customFormat="1" ht="65" customHeight="1" x14ac:dyDescent="0.15">
      <c r="A45"/>
      <c r="B45"/>
      <c r="C45"/>
    </row>
    <row r="46" spans="1:3" s="1" customFormat="1" ht="65" customHeight="1" x14ac:dyDescent="0.15">
      <c r="A46"/>
      <c r="B46"/>
      <c r="C46"/>
    </row>
    <row r="47" spans="1:3" s="1" customFormat="1" ht="65" customHeight="1" x14ac:dyDescent="0.15">
      <c r="A47"/>
      <c r="B47"/>
      <c r="C47"/>
    </row>
    <row r="48" spans="1:3" s="1" customFormat="1" ht="65" customHeight="1" x14ac:dyDescent="0.15">
      <c r="A48"/>
      <c r="B48"/>
      <c r="C48"/>
    </row>
    <row r="49" spans="1:3" s="1" customFormat="1" ht="65" customHeight="1" x14ac:dyDescent="0.15">
      <c r="A49"/>
      <c r="B49"/>
      <c r="C49"/>
    </row>
    <row r="50" spans="1:3" s="1" customFormat="1" ht="65" customHeight="1" x14ac:dyDescent="0.15">
      <c r="A50"/>
      <c r="B50"/>
      <c r="C50"/>
    </row>
    <row r="51" spans="1:3" s="1" customFormat="1" ht="65" customHeight="1" x14ac:dyDescent="0.15">
      <c r="A51"/>
      <c r="B51"/>
      <c r="C51"/>
    </row>
    <row r="52" spans="1:3" s="1" customFormat="1" ht="65" customHeight="1" x14ac:dyDescent="0.15">
      <c r="A52"/>
      <c r="B52"/>
      <c r="C52"/>
    </row>
    <row r="53" spans="1:3" s="1" customFormat="1" ht="65" customHeight="1" x14ac:dyDescent="0.15">
      <c r="A53"/>
      <c r="B53"/>
      <c r="C53"/>
    </row>
    <row r="54" spans="1:3" s="1" customFormat="1" ht="65" customHeight="1" x14ac:dyDescent="0.15">
      <c r="A54"/>
      <c r="B54"/>
      <c r="C54"/>
    </row>
    <row r="55" spans="1:3" s="1" customFormat="1" ht="65" customHeight="1" x14ac:dyDescent="0.15">
      <c r="A55"/>
      <c r="B55"/>
      <c r="C55"/>
    </row>
    <row r="56" spans="1:3" s="1" customFormat="1" ht="65" customHeight="1" x14ac:dyDescent="0.15">
      <c r="A56"/>
      <c r="B56"/>
      <c r="C56"/>
    </row>
    <row r="57" spans="1:3" s="1" customFormat="1" ht="65" customHeight="1" x14ac:dyDescent="0.15">
      <c r="A57"/>
      <c r="B57"/>
      <c r="C57"/>
    </row>
    <row r="58" spans="1:3" s="1" customFormat="1" ht="65" customHeight="1" x14ac:dyDescent="0.15">
      <c r="A58"/>
      <c r="B58"/>
      <c r="C58"/>
    </row>
    <row r="59" spans="1:3" s="1" customFormat="1" ht="65" customHeight="1" x14ac:dyDescent="0.15">
      <c r="A59"/>
      <c r="B59"/>
      <c r="C59"/>
    </row>
    <row r="60" spans="1:3" s="1" customFormat="1" ht="65" customHeight="1" x14ac:dyDescent="0.15">
      <c r="A60"/>
      <c r="B60"/>
      <c r="C60"/>
    </row>
    <row r="61" spans="1:3" s="1" customFormat="1" ht="65" customHeight="1" x14ac:dyDescent="0.15">
      <c r="A61"/>
      <c r="B61"/>
      <c r="C61"/>
    </row>
    <row r="62" spans="1:3" s="1" customFormat="1" ht="65" customHeight="1" x14ac:dyDescent="0.15">
      <c r="A62"/>
      <c r="B62"/>
      <c r="C62"/>
    </row>
    <row r="63" spans="1:3" s="1" customFormat="1" ht="65" customHeight="1" x14ac:dyDescent="0.15">
      <c r="A63"/>
      <c r="B63"/>
      <c r="C63"/>
    </row>
    <row r="64" spans="1:3" s="1" customFormat="1" ht="65" customHeight="1" x14ac:dyDescent="0.15">
      <c r="A64"/>
      <c r="B64"/>
      <c r="C64"/>
    </row>
    <row r="65" spans="1:3" s="1" customFormat="1" ht="65" customHeight="1" x14ac:dyDescent="0.15">
      <c r="A65"/>
      <c r="B65"/>
      <c r="C65"/>
    </row>
    <row r="66" spans="1:3" s="1" customFormat="1" ht="65" customHeight="1" x14ac:dyDescent="0.15">
      <c r="A66"/>
      <c r="B66"/>
      <c r="C66"/>
    </row>
    <row r="67" spans="1:3" s="1" customFormat="1" ht="65" customHeight="1" x14ac:dyDescent="0.15">
      <c r="A67"/>
      <c r="B67"/>
      <c r="C67"/>
    </row>
    <row r="68" spans="1:3" s="1" customFormat="1" ht="65" customHeight="1" x14ac:dyDescent="0.15">
      <c r="A68"/>
      <c r="B68"/>
      <c r="C68"/>
    </row>
    <row r="69" spans="1:3" s="1" customFormat="1" ht="65" customHeight="1" x14ac:dyDescent="0.15">
      <c r="A69"/>
      <c r="B69"/>
      <c r="C69"/>
    </row>
    <row r="70" spans="1:3" s="1" customFormat="1" ht="65" customHeight="1" x14ac:dyDescent="0.15">
      <c r="A70"/>
      <c r="B70"/>
      <c r="C70"/>
    </row>
    <row r="71" spans="1:3" s="1" customFormat="1" ht="65" customHeight="1" x14ac:dyDescent="0.15">
      <c r="A71"/>
      <c r="B71"/>
      <c r="C71"/>
    </row>
    <row r="72" spans="1:3" s="1" customFormat="1" ht="65" customHeight="1" x14ac:dyDescent="0.15">
      <c r="A72"/>
      <c r="B72"/>
      <c r="C72"/>
    </row>
    <row r="73" spans="1:3" s="1" customFormat="1" ht="65" customHeight="1" x14ac:dyDescent="0.15">
      <c r="A73"/>
      <c r="B73"/>
      <c r="C73"/>
    </row>
    <row r="74" spans="1:3" s="1" customFormat="1" ht="65" customHeight="1" x14ac:dyDescent="0.15">
      <c r="A74"/>
      <c r="B74"/>
      <c r="C74"/>
    </row>
    <row r="75" spans="1:3" s="1" customFormat="1" ht="65" customHeight="1" x14ac:dyDescent="0.15">
      <c r="A75"/>
      <c r="B75"/>
      <c r="C75"/>
    </row>
    <row r="76" spans="1:3" s="1" customFormat="1" ht="65" customHeight="1" x14ac:dyDescent="0.15">
      <c r="A76"/>
      <c r="B76"/>
      <c r="C76"/>
    </row>
    <row r="77" spans="1:3" s="1" customFormat="1" ht="65" customHeight="1" x14ac:dyDescent="0.15">
      <c r="A77"/>
      <c r="B77"/>
      <c r="C77"/>
    </row>
    <row r="78" spans="1:3" s="1" customFormat="1" ht="65" customHeight="1" x14ac:dyDescent="0.15">
      <c r="A78"/>
      <c r="B78"/>
      <c r="C78"/>
    </row>
    <row r="79" spans="1:3" s="1" customFormat="1" ht="65" customHeight="1" x14ac:dyDescent="0.15">
      <c r="A79"/>
      <c r="B79"/>
      <c r="C79"/>
    </row>
    <row r="80" spans="1:3" s="1" customFormat="1" ht="65" customHeight="1" x14ac:dyDescent="0.15">
      <c r="A80"/>
      <c r="B80"/>
      <c r="C80"/>
    </row>
    <row r="81" spans="1:3" s="1" customFormat="1" ht="65" customHeight="1" x14ac:dyDescent="0.15">
      <c r="A81"/>
      <c r="B81"/>
      <c r="C81"/>
    </row>
    <row r="82" spans="1:3" s="1" customFormat="1" ht="65" customHeight="1" x14ac:dyDescent="0.15">
      <c r="A82"/>
      <c r="B82"/>
      <c r="C82"/>
    </row>
    <row r="83" spans="1:3" s="1" customFormat="1" ht="65" customHeight="1" x14ac:dyDescent="0.15">
      <c r="A83"/>
      <c r="B83"/>
      <c r="C83"/>
    </row>
    <row r="84" spans="1:3" s="1" customFormat="1" ht="65" customHeight="1" x14ac:dyDescent="0.15">
      <c r="A84"/>
      <c r="B84"/>
      <c r="C84"/>
    </row>
    <row r="85" spans="1:3" s="1" customFormat="1" ht="65" customHeight="1" x14ac:dyDescent="0.15">
      <c r="A85"/>
      <c r="B85"/>
      <c r="C85"/>
    </row>
    <row r="86" spans="1:3" s="1" customFormat="1" ht="65" customHeight="1" x14ac:dyDescent="0.15">
      <c r="A86"/>
      <c r="B86"/>
      <c r="C86"/>
    </row>
    <row r="87" spans="1:3" s="1" customFormat="1" ht="65" customHeight="1" x14ac:dyDescent="0.15">
      <c r="A87"/>
      <c r="B87"/>
      <c r="C87"/>
    </row>
    <row r="88" spans="1:3" s="1" customFormat="1" ht="65" customHeight="1" x14ac:dyDescent="0.15">
      <c r="A88"/>
      <c r="B88"/>
      <c r="C88"/>
    </row>
    <row r="89" spans="1:3" s="1" customFormat="1" ht="65" customHeight="1" x14ac:dyDescent="0.15">
      <c r="A89"/>
      <c r="B89"/>
      <c r="C89"/>
    </row>
    <row r="90" spans="1:3" s="1" customFormat="1" ht="65" customHeight="1" x14ac:dyDescent="0.15">
      <c r="A90"/>
      <c r="B90"/>
      <c r="C90"/>
    </row>
    <row r="91" spans="1:3" s="1" customFormat="1" ht="65" customHeight="1" x14ac:dyDescent="0.15">
      <c r="A91"/>
      <c r="B91"/>
      <c r="C91"/>
    </row>
    <row r="92" spans="1:3" s="1" customFormat="1" ht="65" customHeight="1" x14ac:dyDescent="0.15">
      <c r="A92"/>
      <c r="B92"/>
      <c r="C92"/>
    </row>
    <row r="93" spans="1:3" s="1" customFormat="1" ht="65" customHeight="1" x14ac:dyDescent="0.15">
      <c r="A93"/>
      <c r="B93"/>
      <c r="C93"/>
    </row>
    <row r="94" spans="1:3" s="1" customFormat="1" ht="65" customHeight="1" x14ac:dyDescent="0.15">
      <c r="A94"/>
      <c r="B94"/>
      <c r="C94"/>
    </row>
    <row r="95" spans="1:3" s="1" customFormat="1" ht="65" customHeight="1" x14ac:dyDescent="0.15">
      <c r="A95"/>
      <c r="B95"/>
      <c r="C95"/>
    </row>
    <row r="96" spans="1:3" s="1" customFormat="1" ht="65" customHeight="1" x14ac:dyDescent="0.15">
      <c r="A96"/>
      <c r="B96"/>
      <c r="C96"/>
    </row>
    <row r="97" spans="1:3" s="1" customFormat="1" ht="65" customHeight="1" x14ac:dyDescent="0.15">
      <c r="A97"/>
      <c r="B97"/>
      <c r="C97"/>
    </row>
    <row r="98" spans="1:3" s="1" customFormat="1" ht="65" customHeight="1" x14ac:dyDescent="0.15">
      <c r="A98"/>
      <c r="B98"/>
      <c r="C98"/>
    </row>
    <row r="99" spans="1:3" s="1" customFormat="1" ht="65" customHeight="1" x14ac:dyDescent="0.15">
      <c r="A99"/>
      <c r="B99"/>
      <c r="C99"/>
    </row>
    <row r="100" spans="1:3" s="1" customFormat="1" ht="65" customHeight="1" x14ac:dyDescent="0.15">
      <c r="A100"/>
      <c r="B100"/>
      <c r="C100"/>
    </row>
    <row r="101" spans="1:3" x14ac:dyDescent="0.15">
      <c r="A101"/>
      <c r="B101"/>
      <c r="C101"/>
    </row>
    <row r="102" spans="1:3" x14ac:dyDescent="0.15">
      <c r="A102"/>
      <c r="B102"/>
      <c r="C102"/>
    </row>
    <row r="103" spans="1:3" x14ac:dyDescent="0.15">
      <c r="A103"/>
      <c r="B103"/>
      <c r="C103"/>
    </row>
    <row r="104" spans="1:3" x14ac:dyDescent="0.15">
      <c r="A104"/>
      <c r="B104"/>
      <c r="C104"/>
    </row>
    <row r="105" spans="1:3" x14ac:dyDescent="0.15">
      <c r="A105"/>
      <c r="B105"/>
      <c r="C105"/>
    </row>
    <row r="106" spans="1:3" x14ac:dyDescent="0.15">
      <c r="A106"/>
      <c r="B106"/>
      <c r="C106"/>
    </row>
  </sheetData>
  <autoFilter ref="A1:C33" xr:uid="{00000000-0009-0000-0000-000000000000}">
    <sortState xmlns:xlrd2="http://schemas.microsoft.com/office/spreadsheetml/2017/richdata2" ref="A2:C34">
      <sortCondition sortBy="cellColor" ref="A1:A34" dxfId="0"/>
    </sortState>
  </autoFilter>
  <dataValidations count="1">
    <dataValidation type="list" allowBlank="1" showInputMessage="1" showErrorMessage="1" error="Select a day from the list. Select CANCEL, and then press ALT+DOWN ARROW to select from the drop-down list" sqref="M42" xr:uid="{00000000-0002-0000-0000-000000000000}">
      <formula1>"SONNTAG,MONTAG,DIENSTAG,MITTWOCH,DONNERSTAG,FREITAG,SAMSTAG"</formula1>
      <formula2>0</formula2>
    </dataValidation>
  </dataValidations>
  <hyperlinks>
    <hyperlink ref="C2" r:id="rId1" xr:uid="{15F3A66F-2CD5-A84B-823B-5ABF53907EDE}"/>
    <hyperlink ref="C3" r:id="rId2" xr:uid="{A6020DAB-761D-8E4A-A625-DA3F0747BD97}"/>
    <hyperlink ref="C5" r:id="rId3" xr:uid="{A439EC22-997F-824A-ABB8-2E9C8D05D57A}"/>
    <hyperlink ref="C4" r:id="rId4" xr:uid="{4CE8584F-3E1D-3C46-B46E-D169690EA121}"/>
    <hyperlink ref="C6" r:id="rId5" xr:uid="{99B764C6-B40D-5344-B30E-38112CB938F9}"/>
    <hyperlink ref="C7" r:id="rId6" xr:uid="{2F92ACCE-C17E-9E42-A9A8-AC2525BB076D}"/>
    <hyperlink ref="C8" r:id="rId7" xr:uid="{A8AE54AE-63C0-B34A-8DE6-55456EC79E36}"/>
    <hyperlink ref="C9" r:id="rId8" xr:uid="{95FB2A35-204E-A047-8E1E-0753B3116611}"/>
    <hyperlink ref="C10" r:id="rId9" xr:uid="{9246B4FD-FABB-F644-9956-71AEE75D821B}"/>
    <hyperlink ref="C13" r:id="rId10" xr:uid="{2544D138-FD4E-A544-B033-651844938F89}"/>
    <hyperlink ref="C17" r:id="rId11" xr:uid="{0380B0B2-6FEA-9F42-8E2A-E66ECD0B1043}"/>
    <hyperlink ref="C12" r:id="rId12" xr:uid="{103D75C6-39E4-9845-8F48-500F3F032A97}"/>
    <hyperlink ref="C18" r:id="rId13" xr:uid="{38CE4114-3B91-4B4F-83F6-7794D41324BB}"/>
  </hyperlinks>
  <pageMargins left="0.7" right="0.7" top="0.78749999999999998" bottom="0.78749999999999998" header="0.51180555555555496" footer="0.51180555555555496"/>
  <pageSetup paperSize="9" firstPageNumber="0" orientation="portrait" horizontalDpi="300" verticalDpi="300" r:id="rId1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MN125"/>
  <sheetViews>
    <sheetView tabSelected="1" zoomScaleNormal="70" workbookViewId="0">
      <pane xSplit="1" ySplit="1" topLeftCell="I121" activePane="bottomRight" state="frozen"/>
      <selection pane="topRight" activeCell="B1" sqref="B1"/>
      <selection pane="bottomLeft" activeCell="A2" sqref="A2"/>
      <selection pane="bottomRight" activeCell="O126" sqref="O126"/>
    </sheetView>
  </sheetViews>
  <sheetFormatPr baseColWidth="10" defaultColWidth="8.83203125" defaultRowHeight="13" x14ac:dyDescent="0.15"/>
  <cols>
    <col min="1" max="1" width="42.83203125" style="17" bestFit="1" customWidth="1"/>
    <col min="2" max="2" width="30.33203125" style="17" customWidth="1"/>
    <col min="3" max="3" width="25.1640625" style="17" customWidth="1"/>
    <col min="4" max="4" width="19.33203125" style="17" customWidth="1"/>
    <col min="5" max="5" width="23.33203125" style="17" customWidth="1"/>
    <col min="6" max="6" width="14.6640625" style="36" customWidth="1"/>
    <col min="7" max="7" width="15.6640625" style="17" customWidth="1"/>
    <col min="8" max="8" width="13.1640625" style="17" customWidth="1"/>
    <col min="9" max="9" width="17.6640625" style="17" customWidth="1"/>
    <col min="10" max="10" width="13" style="17" customWidth="1"/>
    <col min="11" max="11" width="10.1640625" style="17" customWidth="1"/>
    <col min="12" max="12" width="12.83203125" style="17" customWidth="1"/>
    <col min="13" max="13" width="15.6640625" style="17" customWidth="1"/>
    <col min="14" max="14" width="88.5" style="65" customWidth="1"/>
    <col min="15" max="15" width="19.83203125" style="17" customWidth="1"/>
    <col min="16" max="16" width="43.83203125" style="17" customWidth="1"/>
    <col min="17" max="17" width="48.83203125" style="17" customWidth="1"/>
    <col min="18" max="18" width="16" style="17" customWidth="1"/>
    <col min="19" max="19" width="7.83203125" style="17" customWidth="1"/>
    <col min="20" max="20" width="27.6640625" style="17" customWidth="1"/>
    <col min="21" max="21" width="29.33203125" style="17" customWidth="1"/>
    <col min="22" max="1028" width="10.5" style="17" customWidth="1"/>
    <col min="1029" max="16384" width="8.83203125" style="35"/>
  </cols>
  <sheetData>
    <row r="1" spans="1:21" s="22" customFormat="1" ht="65" customHeight="1" x14ac:dyDescent="0.15">
      <c r="A1" s="13" t="s">
        <v>45</v>
      </c>
      <c r="B1" s="13" t="s">
        <v>419</v>
      </c>
      <c r="C1" s="13" t="s">
        <v>46</v>
      </c>
      <c r="D1" s="13" t="s">
        <v>47</v>
      </c>
      <c r="E1" s="13" t="s">
        <v>48</v>
      </c>
      <c r="F1" s="13" t="s">
        <v>49</v>
      </c>
      <c r="G1" s="13" t="s">
        <v>50</v>
      </c>
      <c r="H1" s="13" t="s">
        <v>51</v>
      </c>
      <c r="I1" s="13" t="s">
        <v>52</v>
      </c>
      <c r="J1" s="13" t="s">
        <v>53</v>
      </c>
      <c r="K1" s="13" t="s">
        <v>54</v>
      </c>
      <c r="L1" s="13" t="s">
        <v>55</v>
      </c>
      <c r="M1" s="13" t="s">
        <v>56</v>
      </c>
      <c r="N1" s="21" t="s">
        <v>324</v>
      </c>
      <c r="O1" s="21" t="s">
        <v>310</v>
      </c>
      <c r="P1" s="21" t="s">
        <v>420</v>
      </c>
      <c r="Q1" s="13" t="s">
        <v>57</v>
      </c>
      <c r="R1" s="13" t="s">
        <v>58</v>
      </c>
      <c r="S1" s="13" t="s">
        <v>44</v>
      </c>
      <c r="T1" s="13" t="s">
        <v>59</v>
      </c>
      <c r="U1" s="13" t="s">
        <v>323</v>
      </c>
    </row>
    <row r="2" spans="1:21" s="24" customFormat="1" ht="65" customHeight="1" x14ac:dyDescent="0.15">
      <c r="A2" s="23" t="s">
        <v>172</v>
      </c>
      <c r="B2" s="18" t="str">
        <f>VLOOKUP($E2,Liste!$A$2:$C$34,2,FALSE)</f>
        <v>Applied Economics</v>
      </c>
      <c r="C2" s="14" t="s">
        <v>173</v>
      </c>
      <c r="D2" s="14" t="s">
        <v>97</v>
      </c>
      <c r="E2" s="14" t="s">
        <v>174</v>
      </c>
      <c r="F2" s="14" t="s">
        <v>175</v>
      </c>
      <c r="G2" s="14" t="s">
        <v>81</v>
      </c>
      <c r="H2" s="14" t="s">
        <v>176</v>
      </c>
      <c r="I2" s="14" t="s">
        <v>177</v>
      </c>
      <c r="J2" s="14" t="s">
        <v>178</v>
      </c>
      <c r="K2" s="14" t="s">
        <v>370</v>
      </c>
      <c r="L2" s="14" t="s">
        <v>74</v>
      </c>
      <c r="M2" s="14"/>
      <c r="N2" s="63" t="s">
        <v>179</v>
      </c>
      <c r="O2" s="14" t="s">
        <v>514</v>
      </c>
      <c r="P2" s="49" t="str">
        <f>VLOOKUP($B2,Liste!$B$2:$C$34,2,FALSE)</f>
        <v>https://www.wiwi2.tu-dortmund.de/wiwi/ae/de/lehrstuhl/</v>
      </c>
      <c r="Q2" s="49" t="s">
        <v>549</v>
      </c>
      <c r="R2" s="14" t="s">
        <v>67</v>
      </c>
      <c r="S2" s="14">
        <v>7.5</v>
      </c>
      <c r="T2" s="14" t="s">
        <v>303</v>
      </c>
      <c r="U2" s="14" t="s">
        <v>325</v>
      </c>
    </row>
    <row r="3" spans="1:21" s="24" customFormat="1" ht="65" customHeight="1" x14ac:dyDescent="0.15">
      <c r="A3" s="23" t="s">
        <v>180</v>
      </c>
      <c r="B3" s="49" t="str">
        <f>VLOOKUP($E3,Liste!$A$2:$C$34,2,FALSE)</f>
        <v>Ökonometrie und Statistik</v>
      </c>
      <c r="C3" s="23" t="s">
        <v>180</v>
      </c>
      <c r="D3" s="23" t="s">
        <v>70</v>
      </c>
      <c r="E3" s="23" t="s">
        <v>428</v>
      </c>
      <c r="F3" s="14" t="s">
        <v>181</v>
      </c>
      <c r="G3" s="14" t="s">
        <v>182</v>
      </c>
      <c r="H3" s="23" t="s">
        <v>176</v>
      </c>
      <c r="I3" s="23" t="s">
        <v>183</v>
      </c>
      <c r="J3" s="23" t="s">
        <v>184</v>
      </c>
      <c r="K3" s="23" t="s">
        <v>65</v>
      </c>
      <c r="L3" s="23" t="s">
        <v>66</v>
      </c>
      <c r="M3" s="47"/>
      <c r="N3" s="49" t="s">
        <v>329</v>
      </c>
      <c r="O3" s="23" t="s">
        <v>507</v>
      </c>
      <c r="P3" s="49" t="str">
        <f>VLOOKUP($B3,Liste!$B$2:$C$34,2,FALSE)</f>
        <v>https://www.statistik.tu-dortmund.de/oekonometrie.html</v>
      </c>
      <c r="Q3" s="49" t="s">
        <v>185</v>
      </c>
      <c r="R3" s="23" t="s">
        <v>137</v>
      </c>
      <c r="S3" s="23">
        <v>9</v>
      </c>
      <c r="T3" s="23" t="s">
        <v>302</v>
      </c>
      <c r="U3" s="23" t="s">
        <v>326</v>
      </c>
    </row>
    <row r="4" spans="1:21" s="50" customFormat="1" ht="65" customHeight="1" x14ac:dyDescent="0.15">
      <c r="A4" s="23" t="s">
        <v>180</v>
      </c>
      <c r="B4" s="49" t="str">
        <f>VLOOKUP($E4,Liste!$A$2:$C$34,2,FALSE)</f>
        <v>Ökonometrie und Statistik</v>
      </c>
      <c r="C4" s="23" t="s">
        <v>180</v>
      </c>
      <c r="D4" s="23" t="s">
        <v>76</v>
      </c>
      <c r="E4" s="23" t="s">
        <v>428</v>
      </c>
      <c r="F4" s="14" t="s">
        <v>20</v>
      </c>
      <c r="G4" s="14" t="s">
        <v>102</v>
      </c>
      <c r="H4" s="23" t="s">
        <v>176</v>
      </c>
      <c r="I4" s="23" t="s">
        <v>177</v>
      </c>
      <c r="J4" s="23" t="s">
        <v>471</v>
      </c>
      <c r="K4" s="23" t="s">
        <v>65</v>
      </c>
      <c r="L4" s="23" t="s">
        <v>66</v>
      </c>
      <c r="M4" s="23"/>
      <c r="N4" s="49" t="s">
        <v>329</v>
      </c>
      <c r="O4" s="23" t="s">
        <v>507</v>
      </c>
      <c r="P4" s="49" t="str">
        <f>VLOOKUP($B4,Liste!$B$2:$C$34,2,FALSE)</f>
        <v>https://www.statistik.tu-dortmund.de/oekonometrie.html</v>
      </c>
      <c r="Q4" s="49" t="s">
        <v>185</v>
      </c>
      <c r="R4" s="23" t="s">
        <v>137</v>
      </c>
      <c r="S4" s="23">
        <v>9</v>
      </c>
      <c r="T4" s="23" t="s">
        <v>302</v>
      </c>
      <c r="U4" s="23" t="s">
        <v>326</v>
      </c>
    </row>
    <row r="5" spans="1:21" s="50" customFormat="1" ht="65" customHeight="1" x14ac:dyDescent="0.15">
      <c r="A5" s="25" t="s">
        <v>60</v>
      </c>
      <c r="B5" s="19" t="str">
        <f>VLOOKUP($E5,Liste!$A$2:$C$34,2,FALSE)</f>
        <v>Chair of Environmental Economics,
 esp. Economics of Renewable Energy</v>
      </c>
      <c r="C5" s="15" t="s">
        <v>60</v>
      </c>
      <c r="D5" s="15" t="s">
        <v>61</v>
      </c>
      <c r="E5" s="15" t="s">
        <v>361</v>
      </c>
      <c r="F5" s="15" t="s">
        <v>62</v>
      </c>
      <c r="G5" s="15" t="s">
        <v>63</v>
      </c>
      <c r="H5" s="15" t="s">
        <v>64</v>
      </c>
      <c r="I5" s="15">
        <v>0.58333333333333304</v>
      </c>
      <c r="J5" s="15">
        <v>0.66666666666666696</v>
      </c>
      <c r="K5" s="15" t="s">
        <v>370</v>
      </c>
      <c r="L5" s="15" t="s">
        <v>74</v>
      </c>
      <c r="M5" s="15"/>
      <c r="N5" s="15" t="s">
        <v>479</v>
      </c>
      <c r="O5" s="15" t="s">
        <v>588</v>
      </c>
      <c r="P5" s="27" t="str">
        <f>VLOOKUP($B5,Liste!$B$2:$C$34,2,FALSE)</f>
        <v>https://www.uee.wiwi.uni-due.de</v>
      </c>
      <c r="Q5" s="27" t="s">
        <v>541</v>
      </c>
      <c r="R5" s="15" t="s">
        <v>67</v>
      </c>
      <c r="S5" s="15">
        <v>6</v>
      </c>
      <c r="T5" s="15" t="s">
        <v>301</v>
      </c>
      <c r="U5" s="15" t="s">
        <v>326</v>
      </c>
    </row>
    <row r="6" spans="1:21" s="42" customFormat="1" ht="65" customHeight="1" x14ac:dyDescent="0.15">
      <c r="A6" s="25" t="s">
        <v>317</v>
      </c>
      <c r="B6" s="19" t="str">
        <f>VLOOKUP($E6,Liste!$A$2:$C$34,2,FALSE)</f>
        <v>Ökonometrie</v>
      </c>
      <c r="C6" s="15" t="s">
        <v>317</v>
      </c>
      <c r="D6" s="15" t="s">
        <v>97</v>
      </c>
      <c r="E6" s="15" t="s">
        <v>71</v>
      </c>
      <c r="F6" s="15" t="s">
        <v>318</v>
      </c>
      <c r="G6" s="15" t="s">
        <v>81</v>
      </c>
      <c r="H6" s="15" t="s">
        <v>64</v>
      </c>
      <c r="I6" s="15">
        <v>0.58333333333333337</v>
      </c>
      <c r="J6" s="15">
        <v>0.75</v>
      </c>
      <c r="K6" s="15" t="s">
        <v>316</v>
      </c>
      <c r="L6" s="15" t="s">
        <v>66</v>
      </c>
      <c r="M6" s="15"/>
      <c r="N6" s="27" t="s">
        <v>319</v>
      </c>
      <c r="O6" s="15" t="s">
        <v>595</v>
      </c>
      <c r="P6" s="27" t="str">
        <f>VLOOKUP($B6,Liste!$B$2:$C$34,2,FALSE)</f>
        <v>https://www.oek.wiwi.uni-due.de/</v>
      </c>
      <c r="Q6" s="27" t="s">
        <v>392</v>
      </c>
      <c r="R6" s="15" t="s">
        <v>67</v>
      </c>
      <c r="S6" s="15">
        <v>6</v>
      </c>
      <c r="T6" s="15" t="s">
        <v>301</v>
      </c>
      <c r="U6" s="15" t="s">
        <v>326</v>
      </c>
    </row>
    <row r="7" spans="1:21" s="42" customFormat="1" ht="65" customHeight="1" x14ac:dyDescent="0.15">
      <c r="A7" s="23" t="s">
        <v>379</v>
      </c>
      <c r="B7" s="18" t="str">
        <f>VLOOKUP($E7,Liste!$A$2:$C$34,2,FALSE)</f>
        <v>Statistical Methods for Big Data</v>
      </c>
      <c r="C7" s="14" t="s">
        <v>340</v>
      </c>
      <c r="D7" s="14" t="s">
        <v>70</v>
      </c>
      <c r="E7" s="14" t="s">
        <v>377</v>
      </c>
      <c r="F7" s="14" t="s">
        <v>380</v>
      </c>
      <c r="G7" s="14" t="s">
        <v>63</v>
      </c>
      <c r="H7" s="14" t="s">
        <v>176</v>
      </c>
      <c r="I7" s="14">
        <v>0.58333333333333337</v>
      </c>
      <c r="J7" s="14">
        <v>0.66666666666666663</v>
      </c>
      <c r="K7" s="14" t="s">
        <v>472</v>
      </c>
      <c r="L7" s="14" t="s">
        <v>66</v>
      </c>
      <c r="M7" s="14"/>
      <c r="N7" s="59" t="s">
        <v>395</v>
      </c>
      <c r="O7" s="23" t="s">
        <v>507</v>
      </c>
      <c r="P7" s="49" t="str">
        <f>VLOOKUP($B7,Liste!$B$2:$C$34,2,FALSE)</f>
        <v>https://www.statistik.tu-dortmund.de/bigdata.html</v>
      </c>
      <c r="Q7" s="23" t="s">
        <v>521</v>
      </c>
      <c r="R7" s="14" t="s">
        <v>67</v>
      </c>
      <c r="S7" s="14">
        <v>9</v>
      </c>
      <c r="T7" s="14" t="s">
        <v>302</v>
      </c>
      <c r="U7" s="14" t="s">
        <v>325</v>
      </c>
    </row>
    <row r="8" spans="1:21" s="42" customFormat="1" ht="65" customHeight="1" x14ac:dyDescent="0.15">
      <c r="A8" s="23" t="s">
        <v>379</v>
      </c>
      <c r="B8" s="18" t="str">
        <f>VLOOKUP($E8,Liste!$A$2:$C$34,2,FALSE)</f>
        <v>Statistical Methods for Big Data</v>
      </c>
      <c r="C8" s="14" t="s">
        <v>340</v>
      </c>
      <c r="D8" s="14" t="s">
        <v>70</v>
      </c>
      <c r="E8" s="14" t="s">
        <v>377</v>
      </c>
      <c r="F8" s="14" t="s">
        <v>380</v>
      </c>
      <c r="G8" s="14" t="s">
        <v>115</v>
      </c>
      <c r="H8" s="14" t="s">
        <v>176</v>
      </c>
      <c r="I8" s="14">
        <v>0.58333333333333337</v>
      </c>
      <c r="J8" s="14">
        <v>0.66666666666666663</v>
      </c>
      <c r="K8" s="14" t="s">
        <v>472</v>
      </c>
      <c r="L8" s="14" t="s">
        <v>66</v>
      </c>
      <c r="M8" s="14"/>
      <c r="N8" s="59" t="s">
        <v>395</v>
      </c>
      <c r="O8" s="14" t="s">
        <v>507</v>
      </c>
      <c r="P8" s="49" t="str">
        <f>VLOOKUP($B8,Liste!$B$2:$C$34,2,FALSE)</f>
        <v>https://www.statistik.tu-dortmund.de/bigdata.html</v>
      </c>
      <c r="Q8" s="23" t="s">
        <v>521</v>
      </c>
      <c r="R8" s="14" t="s">
        <v>67</v>
      </c>
      <c r="S8" s="14">
        <v>9</v>
      </c>
      <c r="T8" s="14" t="s">
        <v>302</v>
      </c>
      <c r="U8" s="14" t="s">
        <v>325</v>
      </c>
    </row>
    <row r="9" spans="1:21" s="42" customFormat="1" ht="65" customHeight="1" x14ac:dyDescent="0.15">
      <c r="A9" s="23" t="s">
        <v>379</v>
      </c>
      <c r="B9" s="18" t="str">
        <f>VLOOKUP($E9,Liste!$A$2:$C$34,2,FALSE)</f>
        <v>Statistical Methods for Big Data</v>
      </c>
      <c r="C9" s="14" t="s">
        <v>340</v>
      </c>
      <c r="D9" s="14" t="s">
        <v>76</v>
      </c>
      <c r="E9" s="14" t="s">
        <v>377</v>
      </c>
      <c r="F9" s="14" t="s">
        <v>381</v>
      </c>
      <c r="G9" s="14" t="s">
        <v>81</v>
      </c>
      <c r="H9" s="14" t="s">
        <v>176</v>
      </c>
      <c r="I9" s="14">
        <v>0.5</v>
      </c>
      <c r="J9" s="14">
        <v>0.58333333333333337</v>
      </c>
      <c r="K9" s="14" t="s">
        <v>472</v>
      </c>
      <c r="L9" s="14" t="s">
        <v>66</v>
      </c>
      <c r="M9" s="14"/>
      <c r="N9" s="23" t="s">
        <v>396</v>
      </c>
      <c r="O9" s="14" t="s">
        <v>506</v>
      </c>
      <c r="P9" s="49" t="str">
        <f>VLOOKUP($B9,Liste!$B$2:$C$34,2,FALSE)</f>
        <v>https://www.statistik.tu-dortmund.de/bigdata.html</v>
      </c>
      <c r="Q9" s="23" t="s">
        <v>521</v>
      </c>
      <c r="R9" s="14" t="s">
        <v>67</v>
      </c>
      <c r="S9" s="14">
        <v>9</v>
      </c>
      <c r="T9" s="14" t="s">
        <v>302</v>
      </c>
      <c r="U9" s="14" t="s">
        <v>325</v>
      </c>
    </row>
    <row r="10" spans="1:21" s="24" customFormat="1" ht="65" customHeight="1" x14ac:dyDescent="0.15">
      <c r="A10" s="23" t="s">
        <v>187</v>
      </c>
      <c r="B10" s="18" t="str">
        <f>VLOOKUP($E10,Liste!$A$2:$C$34,2,FALSE)</f>
        <v>Applied Economics</v>
      </c>
      <c r="C10" s="14" t="s">
        <v>188</v>
      </c>
      <c r="D10" s="14" t="s">
        <v>70</v>
      </c>
      <c r="E10" s="14" t="s">
        <v>174</v>
      </c>
      <c r="F10" s="14" t="s">
        <v>189</v>
      </c>
      <c r="G10" s="14" t="s">
        <v>63</v>
      </c>
      <c r="H10" s="14" t="s">
        <v>176</v>
      </c>
      <c r="I10" s="14" t="s">
        <v>190</v>
      </c>
      <c r="J10" s="14" t="s">
        <v>191</v>
      </c>
      <c r="K10" s="14" t="s">
        <v>370</v>
      </c>
      <c r="L10" s="14" t="s">
        <v>74</v>
      </c>
      <c r="M10" s="14"/>
      <c r="N10" s="63" t="s">
        <v>192</v>
      </c>
      <c r="O10" s="14" t="s">
        <v>506</v>
      </c>
      <c r="P10" s="49" t="str">
        <f>VLOOKUP($B10,Liste!$B$2:$C$34,2,FALSE)</f>
        <v>https://www.wiwi2.tu-dortmund.de/wiwi/ae/de/lehrstuhl/</v>
      </c>
      <c r="Q10" s="49" t="s">
        <v>550</v>
      </c>
      <c r="R10" s="14" t="s">
        <v>137</v>
      </c>
      <c r="S10" s="14">
        <v>7.5</v>
      </c>
      <c r="T10" s="14" t="s">
        <v>301</v>
      </c>
      <c r="U10" s="14" t="s">
        <v>325</v>
      </c>
    </row>
    <row r="11" spans="1:21" s="24" customFormat="1" ht="65" customHeight="1" x14ac:dyDescent="0.15">
      <c r="A11" s="23" t="s">
        <v>187</v>
      </c>
      <c r="B11" s="18" t="str">
        <f>VLOOKUP($E11,Liste!$A$2:$C$34,2,FALSE)</f>
        <v>Applied Economics</v>
      </c>
      <c r="C11" s="14" t="s">
        <v>188</v>
      </c>
      <c r="D11" s="14" t="s">
        <v>76</v>
      </c>
      <c r="E11" s="14" t="s">
        <v>174</v>
      </c>
      <c r="F11" s="14" t="s">
        <v>33</v>
      </c>
      <c r="G11" s="14" t="s">
        <v>115</v>
      </c>
      <c r="H11" s="14" t="s">
        <v>176</v>
      </c>
      <c r="I11" s="14" t="s">
        <v>191</v>
      </c>
      <c r="J11" s="14" t="s">
        <v>177</v>
      </c>
      <c r="K11" s="14" t="s">
        <v>370</v>
      </c>
      <c r="L11" s="14" t="s">
        <v>74</v>
      </c>
      <c r="M11" s="14"/>
      <c r="N11" s="63" t="s">
        <v>192</v>
      </c>
      <c r="O11" s="14" t="s">
        <v>506</v>
      </c>
      <c r="P11" s="49" t="str">
        <f>VLOOKUP($B11,Liste!$B$2:$C$34,2,FALSE)</f>
        <v>https://www.wiwi2.tu-dortmund.de/wiwi/ae/de/lehrstuhl/</v>
      </c>
      <c r="Q11" s="49" t="s">
        <v>550</v>
      </c>
      <c r="R11" s="14" t="s">
        <v>137</v>
      </c>
      <c r="S11" s="14">
        <v>7.5</v>
      </c>
      <c r="T11" s="14" t="s">
        <v>301</v>
      </c>
      <c r="U11" s="14" t="s">
        <v>325</v>
      </c>
    </row>
    <row r="12" spans="1:21" s="24" customFormat="1" ht="65" customHeight="1" x14ac:dyDescent="0.15">
      <c r="A12" s="23" t="s">
        <v>193</v>
      </c>
      <c r="B12" s="18" t="str">
        <f>VLOOKUP($E12,Liste!$A$2:$C$34,2,FALSE)</f>
        <v>Applied Economics</v>
      </c>
      <c r="C12" s="14" t="s">
        <v>194</v>
      </c>
      <c r="D12" s="14" t="s">
        <v>169</v>
      </c>
      <c r="E12" s="14" t="s">
        <v>174</v>
      </c>
      <c r="F12" s="14" t="s">
        <v>13</v>
      </c>
      <c r="G12" s="14" t="s">
        <v>81</v>
      </c>
      <c r="H12" s="14" t="s">
        <v>176</v>
      </c>
      <c r="I12" s="14" t="s">
        <v>195</v>
      </c>
      <c r="J12" s="14" t="s">
        <v>277</v>
      </c>
      <c r="K12" s="14" t="s">
        <v>316</v>
      </c>
      <c r="L12" s="14" t="s">
        <v>66</v>
      </c>
      <c r="M12" s="14" t="s">
        <v>196</v>
      </c>
      <c r="N12" s="23" t="s">
        <v>197</v>
      </c>
      <c r="O12" s="14" t="s">
        <v>596</v>
      </c>
      <c r="P12" s="49" t="str">
        <f>VLOOKUP($B12,Liste!$B$2:$C$34,2,FALSE)</f>
        <v>https://www.wiwi2.tu-dortmund.de/wiwi/ae/de/lehrstuhl/</v>
      </c>
      <c r="Q12" s="14" t="s">
        <v>519</v>
      </c>
      <c r="R12" s="14" t="s">
        <v>137</v>
      </c>
      <c r="S12" s="14">
        <v>7.5</v>
      </c>
      <c r="T12" s="14" t="s">
        <v>301</v>
      </c>
      <c r="U12" s="14" t="s">
        <v>326</v>
      </c>
    </row>
    <row r="13" spans="1:21" s="24" customFormat="1" ht="65" customHeight="1" x14ac:dyDescent="0.15">
      <c r="A13" s="31" t="s">
        <v>267</v>
      </c>
      <c r="B13" s="20" t="str">
        <f>VLOOKUP($E13,Liste!$A$2:$C$34,2,FALSE)</f>
        <v> Quantitative Analyse (Statistik/Ökonometrie)</v>
      </c>
      <c r="C13" s="16" t="s">
        <v>267</v>
      </c>
      <c r="D13" s="16" t="s">
        <v>70</v>
      </c>
      <c r="E13" s="16" t="s">
        <v>268</v>
      </c>
      <c r="F13" s="16" t="s">
        <v>27</v>
      </c>
      <c r="G13" s="16" t="s">
        <v>63</v>
      </c>
      <c r="H13" s="16" t="s">
        <v>269</v>
      </c>
      <c r="I13" s="32" t="s">
        <v>190</v>
      </c>
      <c r="J13" s="32" t="s">
        <v>191</v>
      </c>
      <c r="K13" s="16" t="s">
        <v>370</v>
      </c>
      <c r="L13" s="16" t="s">
        <v>74</v>
      </c>
      <c r="M13" s="33" t="s">
        <v>270</v>
      </c>
      <c r="N13" s="16" t="s">
        <v>581</v>
      </c>
      <c r="O13" s="34">
        <v>22</v>
      </c>
      <c r="P13" s="16" t="str">
        <f>VLOOKUP($B13,Liste!$B$2:$C$34,2,FALSE)</f>
        <v>https://www.wiwi.ruhr-uni-bochum.de/statoek/index.html.de</v>
      </c>
      <c r="Q13" s="34" t="s">
        <v>491</v>
      </c>
      <c r="R13" s="16" t="s">
        <v>67</v>
      </c>
      <c r="S13" s="34">
        <v>10</v>
      </c>
      <c r="T13" s="16" t="s">
        <v>301</v>
      </c>
      <c r="U13" s="16" t="s">
        <v>325</v>
      </c>
    </row>
    <row r="14" spans="1:21" s="24" customFormat="1" ht="65" customHeight="1" x14ac:dyDescent="0.15">
      <c r="A14" s="31" t="s">
        <v>267</v>
      </c>
      <c r="B14" s="20" t="str">
        <f>VLOOKUP($E14,Liste!$A$2:$C$34,2,FALSE)</f>
        <v> Quantitative Analyse (Statistik/Ökonometrie)</v>
      </c>
      <c r="C14" s="16" t="s">
        <v>267</v>
      </c>
      <c r="D14" s="16" t="s">
        <v>76</v>
      </c>
      <c r="E14" s="16" t="s">
        <v>268</v>
      </c>
      <c r="F14" s="16" t="s">
        <v>23</v>
      </c>
      <c r="G14" s="16" t="s">
        <v>63</v>
      </c>
      <c r="H14" s="16" t="s">
        <v>269</v>
      </c>
      <c r="I14" s="32" t="s">
        <v>211</v>
      </c>
      <c r="J14" s="32" t="s">
        <v>190</v>
      </c>
      <c r="K14" s="16" t="s">
        <v>370</v>
      </c>
      <c r="L14" s="16" t="s">
        <v>74</v>
      </c>
      <c r="M14" s="33"/>
      <c r="N14" s="16" t="s">
        <v>582</v>
      </c>
      <c r="O14" s="34">
        <v>22</v>
      </c>
      <c r="P14" s="16" t="str">
        <f>VLOOKUP($B14,Liste!$B$2:$C$34,2,FALSE)</f>
        <v>https://www.wiwi.ruhr-uni-bochum.de/statoek/index.html.de</v>
      </c>
      <c r="Q14" s="34" t="s">
        <v>491</v>
      </c>
      <c r="R14" s="16" t="s">
        <v>67</v>
      </c>
      <c r="S14" s="34">
        <v>10</v>
      </c>
      <c r="T14" s="16" t="s">
        <v>301</v>
      </c>
      <c r="U14" s="16" t="s">
        <v>325</v>
      </c>
    </row>
    <row r="15" spans="1:21" s="24" customFormat="1" ht="65" customHeight="1" x14ac:dyDescent="0.15">
      <c r="A15" s="23" t="s">
        <v>202</v>
      </c>
      <c r="B15" s="18" t="str">
        <f>VLOOKUP($E15,Liste!$A$2:$C$34,2,FALSE)</f>
        <v>VWL (Mikroökonomie)</v>
      </c>
      <c r="C15" s="14" t="s">
        <v>203</v>
      </c>
      <c r="D15" s="14" t="s">
        <v>70</v>
      </c>
      <c r="E15" s="14" t="s">
        <v>204</v>
      </c>
      <c r="F15" s="14" t="s">
        <v>31</v>
      </c>
      <c r="G15" s="14" t="s">
        <v>81</v>
      </c>
      <c r="H15" s="14" t="s">
        <v>176</v>
      </c>
      <c r="I15" s="14" t="s">
        <v>191</v>
      </c>
      <c r="J15" s="14" t="s">
        <v>177</v>
      </c>
      <c r="K15" s="14" t="s">
        <v>297</v>
      </c>
      <c r="L15" s="14" t="s">
        <v>74</v>
      </c>
      <c r="M15" s="14" t="s">
        <v>205</v>
      </c>
      <c r="N15" s="64" t="s">
        <v>497</v>
      </c>
      <c r="O15" s="14" t="s">
        <v>515</v>
      </c>
      <c r="P15" s="18" t="str">
        <f>VLOOKUP($B15,Liste!$B$2:$C$34,2,FALSE)</f>
        <v>https://www.wiwi2.tu-dortmund.de/wiwi/mik/de/lehrstuhl/index.html</v>
      </c>
      <c r="Q15" s="14"/>
      <c r="R15" s="14" t="s">
        <v>67</v>
      </c>
      <c r="S15" s="14">
        <v>4</v>
      </c>
      <c r="T15" s="14" t="s">
        <v>303</v>
      </c>
      <c r="U15" s="14" t="s">
        <v>326</v>
      </c>
    </row>
    <row r="16" spans="1:21" s="50" customFormat="1" ht="65" customHeight="1" x14ac:dyDescent="0.15">
      <c r="A16" s="23" t="s">
        <v>207</v>
      </c>
      <c r="B16" s="18" t="str">
        <f>VLOOKUP($E16,Liste!$A$2:$C$34,2,FALSE)</f>
        <v>Mathematische Statistik und biometrische Anwendungen</v>
      </c>
      <c r="C16" s="14" t="s">
        <v>207</v>
      </c>
      <c r="D16" s="14" t="s">
        <v>70</v>
      </c>
      <c r="E16" s="14" t="s">
        <v>208</v>
      </c>
      <c r="F16" s="14" t="s">
        <v>30</v>
      </c>
      <c r="G16" s="14" t="s">
        <v>81</v>
      </c>
      <c r="H16" s="14" t="s">
        <v>176</v>
      </c>
      <c r="I16" s="14" t="s">
        <v>190</v>
      </c>
      <c r="J16" s="14" t="s">
        <v>191</v>
      </c>
      <c r="K16" s="14" t="s">
        <v>82</v>
      </c>
      <c r="L16" s="14" t="s">
        <v>74</v>
      </c>
      <c r="M16" s="14"/>
      <c r="N16" s="63" t="s">
        <v>209</v>
      </c>
      <c r="O16" s="14" t="s">
        <v>507</v>
      </c>
      <c r="P16" s="49" t="str">
        <f>VLOOKUP($B16,Liste!$B$2:$C$34,2,FALSE)</f>
        <v>https://www.statistik.tu-dortmund.de/biometrie.html</v>
      </c>
      <c r="Q16" s="49" t="s">
        <v>210</v>
      </c>
      <c r="R16" s="14" t="s">
        <v>90</v>
      </c>
      <c r="S16" s="14">
        <v>9</v>
      </c>
      <c r="T16" s="14" t="s">
        <v>302</v>
      </c>
      <c r="U16" s="14" t="s">
        <v>326</v>
      </c>
    </row>
    <row r="17" spans="1:21" s="24" customFormat="1" ht="65" customHeight="1" x14ac:dyDescent="0.15">
      <c r="A17" s="23" t="s">
        <v>207</v>
      </c>
      <c r="B17" s="18" t="str">
        <f>VLOOKUP($E17,Liste!$A$2:$C$34,2,FALSE)</f>
        <v>Mathematische Statistik und biometrische Anwendungen</v>
      </c>
      <c r="C17" s="14" t="s">
        <v>207</v>
      </c>
      <c r="D17" s="14" t="s">
        <v>70</v>
      </c>
      <c r="E17" s="14" t="s">
        <v>208</v>
      </c>
      <c r="F17" s="14" t="s">
        <v>30</v>
      </c>
      <c r="G17" s="14" t="s">
        <v>93</v>
      </c>
      <c r="H17" s="14" t="s">
        <v>176</v>
      </c>
      <c r="I17" s="14" t="s">
        <v>190</v>
      </c>
      <c r="J17" s="14" t="s">
        <v>191</v>
      </c>
      <c r="K17" s="14" t="s">
        <v>82</v>
      </c>
      <c r="L17" s="14" t="s">
        <v>74</v>
      </c>
      <c r="M17" s="14"/>
      <c r="N17" s="63" t="s">
        <v>209</v>
      </c>
      <c r="O17" s="14" t="s">
        <v>507</v>
      </c>
      <c r="P17" s="49" t="str">
        <f>VLOOKUP($B17,Liste!$B$2:$C$34,2,FALSE)</f>
        <v>https://www.statistik.tu-dortmund.de/biometrie.html</v>
      </c>
      <c r="Q17" s="49" t="s">
        <v>210</v>
      </c>
      <c r="R17" s="14" t="s">
        <v>90</v>
      </c>
      <c r="S17" s="14">
        <v>9</v>
      </c>
      <c r="T17" s="14" t="s">
        <v>302</v>
      </c>
      <c r="U17" s="14" t="s">
        <v>326</v>
      </c>
    </row>
    <row r="18" spans="1:21" s="24" customFormat="1" ht="65" customHeight="1" x14ac:dyDescent="0.15">
      <c r="A18" s="23" t="s">
        <v>207</v>
      </c>
      <c r="B18" s="18" t="str">
        <f>VLOOKUP($E18,Liste!$A$2:$C$34,2,FALSE)</f>
        <v>Mathematische Statistik und biometrische Anwendungen</v>
      </c>
      <c r="C18" s="14" t="s">
        <v>207</v>
      </c>
      <c r="D18" s="14" t="s">
        <v>76</v>
      </c>
      <c r="E18" s="14" t="s">
        <v>208</v>
      </c>
      <c r="F18" s="14" t="s">
        <v>22</v>
      </c>
      <c r="G18" s="14" t="s">
        <v>81</v>
      </c>
      <c r="H18" s="14" t="s">
        <v>176</v>
      </c>
      <c r="I18" s="14" t="s">
        <v>211</v>
      </c>
      <c r="J18" s="14" t="s">
        <v>190</v>
      </c>
      <c r="K18" s="14" t="s">
        <v>82</v>
      </c>
      <c r="L18" s="14" t="s">
        <v>74</v>
      </c>
      <c r="M18" s="14" t="s">
        <v>212</v>
      </c>
      <c r="N18" s="63" t="s">
        <v>209</v>
      </c>
      <c r="O18" s="14" t="s">
        <v>507</v>
      </c>
      <c r="P18" s="49" t="str">
        <f>VLOOKUP($B18,Liste!$B$2:$C$34,2,FALSE)</f>
        <v>https://www.statistik.tu-dortmund.de/biometrie.html</v>
      </c>
      <c r="Q18" s="49" t="s">
        <v>210</v>
      </c>
      <c r="R18" s="14" t="s">
        <v>90</v>
      </c>
      <c r="S18" s="14">
        <v>9</v>
      </c>
      <c r="T18" s="14" t="s">
        <v>302</v>
      </c>
      <c r="U18" s="14" t="s">
        <v>326</v>
      </c>
    </row>
    <row r="19" spans="1:21" s="24" customFormat="1" ht="65" customHeight="1" x14ac:dyDescent="0.15">
      <c r="A19" s="23" t="s">
        <v>207</v>
      </c>
      <c r="B19" s="18" t="str">
        <f>VLOOKUP($E19,Liste!$A$2:$C$34,2,FALSE)</f>
        <v>Mathematische Statistik und biometrische Anwendungen</v>
      </c>
      <c r="C19" s="14" t="s">
        <v>207</v>
      </c>
      <c r="D19" s="14" t="s">
        <v>76</v>
      </c>
      <c r="E19" s="14" t="s">
        <v>208</v>
      </c>
      <c r="F19" s="14" t="s">
        <v>22</v>
      </c>
      <c r="G19" s="14" t="s">
        <v>115</v>
      </c>
      <c r="H19" s="14" t="s">
        <v>176</v>
      </c>
      <c r="I19" s="14" t="s">
        <v>190</v>
      </c>
      <c r="J19" s="14" t="s">
        <v>191</v>
      </c>
      <c r="K19" s="14" t="s">
        <v>82</v>
      </c>
      <c r="L19" s="14" t="s">
        <v>74</v>
      </c>
      <c r="M19" s="14" t="s">
        <v>212</v>
      </c>
      <c r="N19" s="63" t="s">
        <v>209</v>
      </c>
      <c r="O19" s="14" t="s">
        <v>507</v>
      </c>
      <c r="P19" s="49" t="str">
        <f>VLOOKUP($B19,Liste!$B$2:$C$34,2,FALSE)</f>
        <v>https://www.statistik.tu-dortmund.de/biometrie.html</v>
      </c>
      <c r="Q19" s="49" t="s">
        <v>210</v>
      </c>
      <c r="R19" s="14" t="s">
        <v>90</v>
      </c>
      <c r="S19" s="14">
        <v>9</v>
      </c>
      <c r="T19" s="14" t="s">
        <v>302</v>
      </c>
      <c r="U19" s="14" t="s">
        <v>326</v>
      </c>
    </row>
    <row r="20" spans="1:21" s="24" customFormat="1" ht="65" customHeight="1" x14ac:dyDescent="0.15">
      <c r="A20" s="25" t="s">
        <v>68</v>
      </c>
      <c r="B20" s="19" t="str">
        <f>VLOOKUP($E20,Liste!$A$2:$C$34,2,FALSE)</f>
        <v>Ökonometrie</v>
      </c>
      <c r="C20" s="15" t="s">
        <v>69</v>
      </c>
      <c r="D20" s="15" t="s">
        <v>70</v>
      </c>
      <c r="E20" s="15" t="s">
        <v>71</v>
      </c>
      <c r="F20" s="15" t="s">
        <v>72</v>
      </c>
      <c r="G20" s="15" t="s">
        <v>73</v>
      </c>
      <c r="H20" s="15" t="s">
        <v>64</v>
      </c>
      <c r="I20" s="26"/>
      <c r="J20" s="26"/>
      <c r="K20" s="27" t="s">
        <v>316</v>
      </c>
      <c r="L20" s="27" t="s">
        <v>225</v>
      </c>
      <c r="M20" s="28" t="s">
        <v>391</v>
      </c>
      <c r="N20" s="27" t="s">
        <v>327</v>
      </c>
      <c r="O20" s="29">
        <v>77</v>
      </c>
      <c r="P20" s="27" t="str">
        <f>VLOOKUP($B20,Liste!$B$2:$C$34,2,FALSE)</f>
        <v>https://www.oek.wiwi.uni-due.de/</v>
      </c>
      <c r="Q20" s="27" t="s">
        <v>547</v>
      </c>
      <c r="R20" s="28" t="s">
        <v>137</v>
      </c>
      <c r="S20" s="30">
        <v>3</v>
      </c>
      <c r="T20" s="30" t="s">
        <v>302</v>
      </c>
      <c r="U20" s="30" t="s">
        <v>326</v>
      </c>
    </row>
    <row r="21" spans="1:21" s="24" customFormat="1" ht="65" customHeight="1" x14ac:dyDescent="0.15">
      <c r="A21" s="25" t="s">
        <v>68</v>
      </c>
      <c r="B21" s="19" t="str">
        <f>VLOOKUP($E21,Liste!$A$2:$C$34,2,FALSE)</f>
        <v>Ökonometrie</v>
      </c>
      <c r="C21" s="15" t="s">
        <v>69</v>
      </c>
      <c r="D21" s="15" t="s">
        <v>76</v>
      </c>
      <c r="E21" s="15" t="s">
        <v>71</v>
      </c>
      <c r="F21" s="15" t="s">
        <v>32</v>
      </c>
      <c r="G21" s="15" t="s">
        <v>77</v>
      </c>
      <c r="H21" s="15" t="s">
        <v>64</v>
      </c>
      <c r="I21" s="26"/>
      <c r="J21" s="26"/>
      <c r="K21" s="27" t="s">
        <v>316</v>
      </c>
      <c r="L21" s="27" t="s">
        <v>225</v>
      </c>
      <c r="M21" s="28" t="s">
        <v>391</v>
      </c>
      <c r="N21" s="27" t="s">
        <v>328</v>
      </c>
      <c r="O21" s="29">
        <v>77</v>
      </c>
      <c r="P21" s="27" t="str">
        <f>VLOOKUP($B21,Liste!$B$2:$C$34,2,FALSE)</f>
        <v>https://www.oek.wiwi.uni-due.de/</v>
      </c>
      <c r="Q21" s="27" t="s">
        <v>547</v>
      </c>
      <c r="R21" s="28" t="s">
        <v>137</v>
      </c>
      <c r="S21" s="30">
        <v>3</v>
      </c>
      <c r="T21" s="30" t="s">
        <v>302</v>
      </c>
      <c r="U21" s="30" t="s">
        <v>326</v>
      </c>
    </row>
    <row r="22" spans="1:21" s="24" customFormat="1" ht="65" customHeight="1" x14ac:dyDescent="0.15">
      <c r="A22" s="23" t="s">
        <v>299</v>
      </c>
      <c r="B22" s="49" t="str">
        <f>VLOOKUP($E22,Liste!$A$2:$C$34,2,FALSE)</f>
        <v>Faculty of Statistics</v>
      </c>
      <c r="C22" s="23" t="s">
        <v>299</v>
      </c>
      <c r="D22" s="23" t="s">
        <v>61</v>
      </c>
      <c r="E22" s="10" t="s">
        <v>524</v>
      </c>
      <c r="F22" s="23" t="s">
        <v>224</v>
      </c>
      <c r="G22" s="23" t="s">
        <v>102</v>
      </c>
      <c r="H22" s="23" t="s">
        <v>176</v>
      </c>
      <c r="I22" s="23" t="s">
        <v>190</v>
      </c>
      <c r="J22" s="23" t="s">
        <v>177</v>
      </c>
      <c r="K22" s="23" t="s">
        <v>316</v>
      </c>
      <c r="L22" s="23" t="s">
        <v>225</v>
      </c>
      <c r="M22" s="47"/>
      <c r="N22" s="61" t="s">
        <v>397</v>
      </c>
      <c r="O22" s="23" t="s">
        <v>512</v>
      </c>
      <c r="P22" s="49" t="str">
        <f>VLOOKUP($B22,Liste!$B$2:$C$34,2,FALSE)</f>
        <v>https://www-ai.cs.tu-dortmund.de/index.html</v>
      </c>
      <c r="Q22" s="23" t="s">
        <v>522</v>
      </c>
      <c r="R22" s="23" t="s">
        <v>90</v>
      </c>
      <c r="S22" s="47">
        <v>8</v>
      </c>
      <c r="T22" s="23" t="s">
        <v>308</v>
      </c>
      <c r="U22" s="23" t="s">
        <v>325</v>
      </c>
    </row>
    <row r="23" spans="1:21" s="24" customFormat="1" ht="65" customHeight="1" x14ac:dyDescent="0.15">
      <c r="A23" s="25" t="s">
        <v>78</v>
      </c>
      <c r="B23" s="19" t="str">
        <f>VLOOKUP($E23,Liste!$A$2:$C$34,2,FALSE)</f>
        <v>Lehrstuhl für VWL, insb. Gesundheitsökonomik</v>
      </c>
      <c r="C23" s="15" t="s">
        <v>78</v>
      </c>
      <c r="D23" s="15" t="s">
        <v>70</v>
      </c>
      <c r="E23" s="15" t="s">
        <v>79</v>
      </c>
      <c r="F23" s="15" t="s">
        <v>80</v>
      </c>
      <c r="G23" s="15" t="s">
        <v>81</v>
      </c>
      <c r="H23" s="15" t="s">
        <v>64</v>
      </c>
      <c r="I23" s="26">
        <v>0.41666666666666702</v>
      </c>
      <c r="J23" s="26">
        <v>0.5</v>
      </c>
      <c r="K23" s="27" t="s">
        <v>82</v>
      </c>
      <c r="L23" s="27" t="s">
        <v>74</v>
      </c>
      <c r="M23" s="28"/>
      <c r="N23" s="27" t="s">
        <v>291</v>
      </c>
      <c r="O23" s="29">
        <v>79</v>
      </c>
      <c r="P23" s="27" t="str">
        <f>VLOOKUP($B23,Liste!$B$2:$C$34,2,FALSE)</f>
        <v>https://www.goek.wiwi.uni-due.de/startseite/</v>
      </c>
      <c r="Q23" s="27" t="s">
        <v>551</v>
      </c>
      <c r="R23" s="28" t="s">
        <v>67</v>
      </c>
      <c r="S23" s="30">
        <v>3</v>
      </c>
      <c r="T23" s="30" t="s">
        <v>302</v>
      </c>
      <c r="U23" s="30" t="s">
        <v>326</v>
      </c>
    </row>
    <row r="24" spans="1:21" s="24" customFormat="1" ht="65" customHeight="1" x14ac:dyDescent="0.15">
      <c r="A24" s="25" t="s">
        <v>78</v>
      </c>
      <c r="B24" s="19" t="str">
        <f>VLOOKUP($E24,Liste!$A$2:$C$34,2,FALSE)</f>
        <v>Lehrstuhl für VWL, insb. Gesundheitsökonomik</v>
      </c>
      <c r="C24" s="15" t="s">
        <v>78</v>
      </c>
      <c r="D24" s="15" t="s">
        <v>76</v>
      </c>
      <c r="E24" s="15" t="s">
        <v>79</v>
      </c>
      <c r="F24" s="15" t="s">
        <v>83</v>
      </c>
      <c r="G24" s="15" t="s">
        <v>84</v>
      </c>
      <c r="H24" s="15" t="s">
        <v>64</v>
      </c>
      <c r="I24" s="26">
        <v>0.58333333333333304</v>
      </c>
      <c r="J24" s="26">
        <v>0.66666666666666696</v>
      </c>
      <c r="K24" s="27" t="s">
        <v>82</v>
      </c>
      <c r="L24" s="27" t="s">
        <v>74</v>
      </c>
      <c r="M24" s="28"/>
      <c r="N24" s="27" t="s">
        <v>292</v>
      </c>
      <c r="O24" s="29">
        <v>79</v>
      </c>
      <c r="P24" s="27" t="str">
        <f>VLOOKUP($B24,Liste!$B$2:$C$34,2,FALSE)</f>
        <v>https://www.goek.wiwi.uni-due.de/startseite/</v>
      </c>
      <c r="Q24" s="27" t="s">
        <v>551</v>
      </c>
      <c r="R24" s="28" t="s">
        <v>67</v>
      </c>
      <c r="S24" s="30">
        <v>3</v>
      </c>
      <c r="T24" s="30" t="s">
        <v>302</v>
      </c>
      <c r="U24" s="30" t="s">
        <v>326</v>
      </c>
    </row>
    <row r="25" spans="1:21" s="24" customFormat="1" ht="65" customHeight="1" x14ac:dyDescent="0.15">
      <c r="A25" s="31" t="s">
        <v>271</v>
      </c>
      <c r="B25" s="20" t="str">
        <f>VLOOKUP($E25,Liste!$A$2:$C$34,2,FALSE)</f>
        <v>Apl.-Professur für Health Economics</v>
      </c>
      <c r="C25" s="16" t="s">
        <v>271</v>
      </c>
      <c r="D25" s="16" t="s">
        <v>61</v>
      </c>
      <c r="E25" s="16" t="s">
        <v>272</v>
      </c>
      <c r="F25" s="16" t="s">
        <v>273</v>
      </c>
      <c r="G25" s="16"/>
      <c r="H25" s="16" t="s">
        <v>311</v>
      </c>
      <c r="I25" s="32"/>
      <c r="J25" s="32"/>
      <c r="K25" s="16" t="s">
        <v>370</v>
      </c>
      <c r="L25" s="16" t="s">
        <v>74</v>
      </c>
      <c r="M25" s="33" t="s">
        <v>354</v>
      </c>
      <c r="N25" s="16" t="s">
        <v>567</v>
      </c>
      <c r="O25" s="34">
        <v>15</v>
      </c>
      <c r="P25" s="16" t="str">
        <f>VLOOKUP($B25,Liste!$B$2:$C$34,2,FALSE)</f>
        <v>https://www.wiwi.ruhr-uni-bochum.de/health/index.html.de</v>
      </c>
      <c r="Q25" s="16" t="s">
        <v>485</v>
      </c>
      <c r="R25" s="16" t="s">
        <v>67</v>
      </c>
      <c r="S25" s="34">
        <v>5</v>
      </c>
      <c r="T25" s="16" t="s">
        <v>303</v>
      </c>
      <c r="U25" s="16" t="s">
        <v>325</v>
      </c>
    </row>
    <row r="26" spans="1:21" s="24" customFormat="1" ht="65" customHeight="1" x14ac:dyDescent="0.15">
      <c r="A26" s="40" t="s">
        <v>274</v>
      </c>
      <c r="B26" s="41" t="str">
        <f>VLOOKUP($E26,Liste!$A$2:$C$34,2,FALSE)</f>
        <v>Empirical Economics</v>
      </c>
      <c r="C26" s="40" t="s">
        <v>274</v>
      </c>
      <c r="D26" s="40" t="s">
        <v>61</v>
      </c>
      <c r="E26" s="40" t="s">
        <v>275</v>
      </c>
      <c r="F26" s="40" t="s">
        <v>15</v>
      </c>
      <c r="G26" s="40" t="s">
        <v>63</v>
      </c>
      <c r="H26" s="40" t="s">
        <v>269</v>
      </c>
      <c r="I26" s="44">
        <v>0.58333333333333304</v>
      </c>
      <c r="J26" s="44">
        <v>0.66666666666666696</v>
      </c>
      <c r="K26" s="40" t="s">
        <v>316</v>
      </c>
      <c r="L26" s="40" t="s">
        <v>66</v>
      </c>
      <c r="M26" s="45" t="s">
        <v>235</v>
      </c>
      <c r="N26" s="40" t="s">
        <v>501</v>
      </c>
      <c r="O26" s="46">
        <v>23</v>
      </c>
      <c r="P26" s="40" t="str">
        <f>VLOOKUP($B26,Liste!$B$2:$C$34,2,FALSE)</f>
        <v>https://www.wiwi.ruhr-uni-bochum.de/empwifo/index.html.en</v>
      </c>
      <c r="Q26" s="40" t="s">
        <v>355</v>
      </c>
      <c r="R26" s="40" t="s">
        <v>67</v>
      </c>
      <c r="S26" s="46">
        <v>5</v>
      </c>
      <c r="T26" s="40" t="s">
        <v>301</v>
      </c>
      <c r="U26" s="40" t="s">
        <v>326</v>
      </c>
    </row>
    <row r="27" spans="1:21" s="24" customFormat="1" ht="65" customHeight="1" x14ac:dyDescent="0.15">
      <c r="A27" s="23" t="s">
        <v>213</v>
      </c>
      <c r="B27" s="18" t="str">
        <f>VLOOKUP($E27,Liste!$A$2:$C$34,2,FALSE)</f>
        <v>Makroökonomie</v>
      </c>
      <c r="C27" s="14" t="s">
        <v>214</v>
      </c>
      <c r="D27" s="14" t="s">
        <v>97</v>
      </c>
      <c r="E27" s="14" t="s">
        <v>215</v>
      </c>
      <c r="F27" s="14" t="s">
        <v>216</v>
      </c>
      <c r="G27" s="14" t="s">
        <v>63</v>
      </c>
      <c r="H27" s="14" t="s">
        <v>176</v>
      </c>
      <c r="I27" s="14" t="s">
        <v>190</v>
      </c>
      <c r="J27" s="14" t="s">
        <v>177</v>
      </c>
      <c r="K27" s="14" t="s">
        <v>316</v>
      </c>
      <c r="L27" s="14" t="s">
        <v>66</v>
      </c>
      <c r="M27" s="14" t="s">
        <v>217</v>
      </c>
      <c r="N27" s="23" t="s">
        <v>398</v>
      </c>
      <c r="O27" s="14" t="s">
        <v>597</v>
      </c>
      <c r="P27" s="49" t="str">
        <f>VLOOKUP($B27,Liste!$B$2:$C$34,2,FALSE)</f>
        <v>https://www.wiwi2.tu-dortmund.de/wiwi/mak/de/lehrstuhl/index.html</v>
      </c>
      <c r="Q27" s="14" t="s">
        <v>518</v>
      </c>
      <c r="R27" s="14" t="s">
        <v>67</v>
      </c>
      <c r="S27" s="14">
        <v>7.5</v>
      </c>
      <c r="T27" s="14" t="s">
        <v>303</v>
      </c>
      <c r="U27" s="14" t="s">
        <v>326</v>
      </c>
    </row>
    <row r="28" spans="1:21" s="24" customFormat="1" ht="65" customHeight="1" x14ac:dyDescent="0.15">
      <c r="A28" s="23" t="s">
        <v>213</v>
      </c>
      <c r="B28" s="18" t="str">
        <f>VLOOKUP($E28,Liste!$A$2:$C$34,2,FALSE)</f>
        <v>Makroökonomie</v>
      </c>
      <c r="C28" s="14" t="s">
        <v>214</v>
      </c>
      <c r="D28" s="14" t="s">
        <v>76</v>
      </c>
      <c r="E28" s="14" t="s">
        <v>215</v>
      </c>
      <c r="F28" s="14" t="s">
        <v>218</v>
      </c>
      <c r="G28" s="14" t="s">
        <v>63</v>
      </c>
      <c r="H28" s="14" t="s">
        <v>176</v>
      </c>
      <c r="I28" s="14" t="s">
        <v>330</v>
      </c>
      <c r="J28" s="14" t="s">
        <v>190</v>
      </c>
      <c r="K28" s="14" t="s">
        <v>316</v>
      </c>
      <c r="L28" s="14" t="s">
        <v>66</v>
      </c>
      <c r="M28" s="14" t="s">
        <v>217</v>
      </c>
      <c r="N28" s="23" t="s">
        <v>399</v>
      </c>
      <c r="O28" s="14" t="s">
        <v>597</v>
      </c>
      <c r="P28" s="49" t="str">
        <f>VLOOKUP($B28,Liste!$B$2:$C$34,2,FALSE)</f>
        <v>https://www.wiwi2.tu-dortmund.de/wiwi/mak/de/lehrstuhl/index.html</v>
      </c>
      <c r="Q28" s="14" t="s">
        <v>518</v>
      </c>
      <c r="R28" s="14" t="s">
        <v>67</v>
      </c>
      <c r="S28" s="14">
        <v>7.5</v>
      </c>
      <c r="T28" s="14" t="s">
        <v>303</v>
      </c>
      <c r="U28" s="14" t="s">
        <v>326</v>
      </c>
    </row>
    <row r="29" spans="1:21" s="24" customFormat="1" ht="65" customHeight="1" x14ac:dyDescent="0.15">
      <c r="A29" s="31" t="s">
        <v>276</v>
      </c>
      <c r="B29" s="20" t="str">
        <f>VLOOKUP($E29,Liste!$A$2:$C$34,2,FALSE)</f>
        <v>Empirical Economics</v>
      </c>
      <c r="C29" s="16" t="s">
        <v>276</v>
      </c>
      <c r="D29" s="16" t="s">
        <v>70</v>
      </c>
      <c r="E29" s="16" t="s">
        <v>275</v>
      </c>
      <c r="F29" s="16" t="s">
        <v>14</v>
      </c>
      <c r="G29" s="16" t="s">
        <v>93</v>
      </c>
      <c r="H29" s="16" t="s">
        <v>311</v>
      </c>
      <c r="I29" s="32" t="s">
        <v>177</v>
      </c>
      <c r="J29" s="32" t="s">
        <v>186</v>
      </c>
      <c r="K29" s="16" t="s">
        <v>370</v>
      </c>
      <c r="L29" s="16" t="s">
        <v>74</v>
      </c>
      <c r="M29" s="33" t="s">
        <v>278</v>
      </c>
      <c r="N29" s="16" t="s">
        <v>578</v>
      </c>
      <c r="O29" s="34">
        <v>25</v>
      </c>
      <c r="P29" s="16" t="str">
        <f>VLOOKUP($B29,Liste!$B$2:$C$34,2,FALSE)</f>
        <v>https://www.wiwi.ruhr-uni-bochum.de/empwifo/index.html.en</v>
      </c>
      <c r="Q29" s="34" t="s">
        <v>488</v>
      </c>
      <c r="R29" s="16" t="s">
        <v>67</v>
      </c>
      <c r="S29" s="34">
        <v>5</v>
      </c>
      <c r="T29" s="16" t="s">
        <v>301</v>
      </c>
      <c r="U29" s="16" t="s">
        <v>325</v>
      </c>
    </row>
    <row r="30" spans="1:21" s="24" customFormat="1" ht="65" customHeight="1" x14ac:dyDescent="0.15">
      <c r="A30" s="23" t="s">
        <v>219</v>
      </c>
      <c r="B30" s="18" t="str">
        <f>VLOOKUP($E30,Liste!$A$2:$C$34,2,FALSE)</f>
        <v>Wirtschafts- und Sozialstatistik</v>
      </c>
      <c r="C30" s="14" t="s">
        <v>219</v>
      </c>
      <c r="D30" s="14" t="s">
        <v>97</v>
      </c>
      <c r="E30" s="14" t="s">
        <v>483</v>
      </c>
      <c r="F30" s="14" t="s">
        <v>220</v>
      </c>
      <c r="G30" s="14"/>
      <c r="H30" s="14" t="s">
        <v>176</v>
      </c>
      <c r="I30" s="14"/>
      <c r="J30" s="14"/>
      <c r="K30" s="14" t="s">
        <v>370</v>
      </c>
      <c r="L30" s="14" t="s">
        <v>74</v>
      </c>
      <c r="M30" s="14" t="s">
        <v>235</v>
      </c>
      <c r="N30" s="63" t="s">
        <v>572</v>
      </c>
      <c r="O30" s="14" t="s">
        <v>508</v>
      </c>
      <c r="P30" s="49" t="str">
        <f>VLOOKUP($B30,Liste!$B$2:$C$34,2,FALSE)</f>
        <v>https://www.statistik.tu-dortmund.de/iwus.html</v>
      </c>
      <c r="Q30" s="49"/>
      <c r="R30" s="14" t="s">
        <v>67</v>
      </c>
      <c r="S30" s="14">
        <v>9</v>
      </c>
      <c r="T30" s="14" t="s">
        <v>307</v>
      </c>
      <c r="U30" s="14" t="s">
        <v>325</v>
      </c>
    </row>
    <row r="31" spans="1:21" s="42" customFormat="1" ht="65" customHeight="1" x14ac:dyDescent="0.15">
      <c r="A31" s="25" t="s">
        <v>92</v>
      </c>
      <c r="B31" s="19" t="str">
        <f>VLOOKUP($E31,Liste!$A$2:$C$34,2,FALSE)</f>
        <v>Lehrstuhl für Quantitative Methoden in den Wirtschaftswissenschaften</v>
      </c>
      <c r="C31" s="15" t="s">
        <v>92</v>
      </c>
      <c r="D31" s="15" t="s">
        <v>70</v>
      </c>
      <c r="E31" s="15" t="s">
        <v>296</v>
      </c>
      <c r="F31" s="15" t="s">
        <v>29</v>
      </c>
      <c r="G31" s="15"/>
      <c r="H31" s="15" t="s">
        <v>312</v>
      </c>
      <c r="I31" s="26"/>
      <c r="J31" s="26"/>
      <c r="K31" s="27" t="s">
        <v>297</v>
      </c>
      <c r="L31" s="27" t="s">
        <v>74</v>
      </c>
      <c r="M31" s="28"/>
      <c r="N31" s="27" t="s">
        <v>593</v>
      </c>
      <c r="O31" s="29">
        <v>10</v>
      </c>
      <c r="P31" s="27" t="str">
        <f>VLOOKUP($B31,Liste!$B$2:$C$34,2,FALSE)</f>
        <v>https://www.qmw.msm.uni-due.de/startseite/</v>
      </c>
      <c r="Q31" s="27" t="s">
        <v>94</v>
      </c>
      <c r="R31" s="28" t="s">
        <v>67</v>
      </c>
      <c r="S31" s="30">
        <v>3</v>
      </c>
      <c r="T31" s="30" t="s">
        <v>301</v>
      </c>
      <c r="U31" s="30" t="s">
        <v>325</v>
      </c>
    </row>
    <row r="32" spans="1:21" s="24" customFormat="1" ht="65" customHeight="1" x14ac:dyDescent="0.15">
      <c r="A32" s="25" t="s">
        <v>92</v>
      </c>
      <c r="B32" s="19" t="str">
        <f>VLOOKUP($E32,Liste!$A$2:$C$34,2,FALSE)</f>
        <v>Lehrstuhl für Quantitative Methoden in den Wirtschaftswissenschaften</v>
      </c>
      <c r="C32" s="15" t="s">
        <v>92</v>
      </c>
      <c r="D32" s="15" t="s">
        <v>76</v>
      </c>
      <c r="E32" s="15" t="s">
        <v>296</v>
      </c>
      <c r="F32" s="15" t="s">
        <v>95</v>
      </c>
      <c r="G32" s="15"/>
      <c r="H32" s="15" t="s">
        <v>312</v>
      </c>
      <c r="I32" s="26"/>
      <c r="J32" s="26"/>
      <c r="K32" s="27" t="s">
        <v>297</v>
      </c>
      <c r="L32" s="27" t="s">
        <v>74</v>
      </c>
      <c r="M32" s="28"/>
      <c r="N32" s="27" t="s">
        <v>594</v>
      </c>
      <c r="O32" s="29">
        <v>10</v>
      </c>
      <c r="P32" s="27" t="str">
        <f>VLOOKUP($B32,Liste!$B$2:$C$34,2,FALSE)</f>
        <v>https://www.qmw.msm.uni-due.de/startseite/</v>
      </c>
      <c r="Q32" s="27" t="s">
        <v>94</v>
      </c>
      <c r="R32" s="28" t="s">
        <v>67</v>
      </c>
      <c r="S32" s="30">
        <v>3</v>
      </c>
      <c r="T32" s="30" t="s">
        <v>301</v>
      </c>
      <c r="U32" s="30" t="s">
        <v>325</v>
      </c>
    </row>
    <row r="33" spans="1:21" s="24" customFormat="1" ht="65" customHeight="1" x14ac:dyDescent="0.15">
      <c r="A33" s="25" t="s">
        <v>96</v>
      </c>
      <c r="B33" s="19" t="str">
        <f>VLOOKUP($E33,Liste!$A$2:$C$34,2,FALSE)</f>
        <v>Chair of Environmental Economics,
 esp. Economics of Renewable Energy</v>
      </c>
      <c r="C33" s="15" t="s">
        <v>96</v>
      </c>
      <c r="D33" s="15" t="s">
        <v>70</v>
      </c>
      <c r="E33" s="15" t="s">
        <v>361</v>
      </c>
      <c r="F33" s="15" t="s">
        <v>24</v>
      </c>
      <c r="G33" s="15" t="s">
        <v>81</v>
      </c>
      <c r="H33" s="15" t="s">
        <v>64</v>
      </c>
      <c r="I33" s="26">
        <v>0.41666666666666702</v>
      </c>
      <c r="J33" s="26">
        <v>0.5</v>
      </c>
      <c r="K33" s="27" t="s">
        <v>316</v>
      </c>
      <c r="L33" s="27" t="s">
        <v>74</v>
      </c>
      <c r="M33" s="28"/>
      <c r="N33" s="27" t="s">
        <v>564</v>
      </c>
      <c r="O33" s="29">
        <v>64</v>
      </c>
      <c r="P33" s="27" t="str">
        <f>VLOOKUP($B33,Liste!$B$2:$C$34,2,FALSE)</f>
        <v>https://www.uee.wiwi.uni-due.de</v>
      </c>
      <c r="Q33" s="27" t="s">
        <v>542</v>
      </c>
      <c r="R33" s="28" t="s">
        <v>67</v>
      </c>
      <c r="S33" s="30">
        <v>6</v>
      </c>
      <c r="T33" s="30" t="s">
        <v>301</v>
      </c>
      <c r="U33" s="30" t="s">
        <v>325</v>
      </c>
    </row>
    <row r="34" spans="1:21" s="24" customFormat="1" ht="65" customHeight="1" x14ac:dyDescent="0.15">
      <c r="A34" s="25" t="s">
        <v>96</v>
      </c>
      <c r="B34" s="19" t="str">
        <f>VLOOKUP($E34,Liste!$A$2:$C$34,2,FALSE)</f>
        <v>Chair of Environmental Economics,
 esp. Economics of Renewable Energy</v>
      </c>
      <c r="C34" s="15" t="s">
        <v>96</v>
      </c>
      <c r="D34" s="15" t="s">
        <v>76</v>
      </c>
      <c r="E34" s="15" t="s">
        <v>361</v>
      </c>
      <c r="F34" s="15" t="s">
        <v>24</v>
      </c>
      <c r="G34" s="15" t="s">
        <v>63</v>
      </c>
      <c r="H34" s="15" t="s">
        <v>64</v>
      </c>
      <c r="I34" s="26">
        <v>0.33333333333333298</v>
      </c>
      <c r="J34" s="26">
        <v>0.41666666666666702</v>
      </c>
      <c r="K34" s="27" t="s">
        <v>480</v>
      </c>
      <c r="L34" s="27" t="s">
        <v>74</v>
      </c>
      <c r="M34" s="28"/>
      <c r="N34" s="62" t="s">
        <v>565</v>
      </c>
      <c r="O34" s="29">
        <v>64</v>
      </c>
      <c r="P34" s="27" t="str">
        <f>VLOOKUP($B34,Liste!$B$2:$C$34,2,FALSE)</f>
        <v>https://www.uee.wiwi.uni-due.de</v>
      </c>
      <c r="Q34" s="27" t="s">
        <v>542</v>
      </c>
      <c r="R34" s="28" t="s">
        <v>67</v>
      </c>
      <c r="S34" s="30">
        <v>6</v>
      </c>
      <c r="T34" s="30" t="s">
        <v>301</v>
      </c>
      <c r="U34" s="30" t="s">
        <v>325</v>
      </c>
    </row>
    <row r="35" spans="1:21" s="24" customFormat="1" ht="65" customHeight="1" x14ac:dyDescent="0.15">
      <c r="A35" s="25" t="s">
        <v>96</v>
      </c>
      <c r="B35" s="19" t="str">
        <f>VLOOKUP($E35,Liste!$A$2:$C$34,2,FALSE)</f>
        <v>Chair of Environmental Economics,
 esp. Economics of Renewable Energy</v>
      </c>
      <c r="C35" s="15" t="s">
        <v>96</v>
      </c>
      <c r="D35" s="15" t="s">
        <v>76</v>
      </c>
      <c r="E35" s="15" t="s">
        <v>361</v>
      </c>
      <c r="F35" s="15" t="s">
        <v>24</v>
      </c>
      <c r="G35" s="15" t="s">
        <v>63</v>
      </c>
      <c r="H35" s="15" t="s">
        <v>64</v>
      </c>
      <c r="I35" s="26">
        <v>0.33333333333333298</v>
      </c>
      <c r="J35" s="26">
        <v>0.41666666666666702</v>
      </c>
      <c r="K35" s="27" t="s">
        <v>480</v>
      </c>
      <c r="L35" s="27" t="s">
        <v>74</v>
      </c>
      <c r="M35" s="28"/>
      <c r="N35" s="62" t="s">
        <v>566</v>
      </c>
      <c r="O35" s="29">
        <v>64</v>
      </c>
      <c r="P35" s="27" t="str">
        <f>VLOOKUP($B35,Liste!$B$2:$C$34,2,FALSE)</f>
        <v>https://www.uee.wiwi.uni-due.de</v>
      </c>
      <c r="Q35" s="27" t="s">
        <v>542</v>
      </c>
      <c r="R35" s="28" t="s">
        <v>67</v>
      </c>
      <c r="S35" s="30">
        <v>6</v>
      </c>
      <c r="T35" s="30" t="s">
        <v>301</v>
      </c>
      <c r="U35" s="30" t="s">
        <v>325</v>
      </c>
    </row>
    <row r="36" spans="1:21" s="24" customFormat="1" ht="65" customHeight="1" x14ac:dyDescent="0.15">
      <c r="A36" s="23" t="s">
        <v>221</v>
      </c>
      <c r="B36" s="49" t="str">
        <f>VLOOKUP($E36,Liste!$A$2:$C$34,2,FALSE)</f>
        <v>Juniorprofessur Volkswirtschaftslehre 1</v>
      </c>
      <c r="C36" s="23" t="s">
        <v>203</v>
      </c>
      <c r="D36" s="23" t="s">
        <v>70</v>
      </c>
      <c r="E36" s="23" t="s">
        <v>331</v>
      </c>
      <c r="F36" s="14" t="s">
        <v>222</v>
      </c>
      <c r="G36" s="14" t="s">
        <v>63</v>
      </c>
      <c r="H36" s="23" t="s">
        <v>176</v>
      </c>
      <c r="I36" s="23" t="s">
        <v>190</v>
      </c>
      <c r="J36" s="23" t="s">
        <v>191</v>
      </c>
      <c r="K36" s="23" t="s">
        <v>316</v>
      </c>
      <c r="L36" s="23" t="s">
        <v>66</v>
      </c>
      <c r="M36" s="23" t="s">
        <v>223</v>
      </c>
      <c r="N36" s="49" t="s">
        <v>332</v>
      </c>
      <c r="O36" s="23" t="s">
        <v>515</v>
      </c>
      <c r="P36" s="49" t="str">
        <f>VLOOKUP($B36,Liste!$B$2:$C$34,2,FALSE)</f>
        <v>https://www.wiwi2.tu-dortmund.de/wiwi/of/de/einrichtung/aktuell/index.html</v>
      </c>
      <c r="Q36" s="49" t="s">
        <v>206</v>
      </c>
      <c r="R36" s="23" t="s">
        <v>67</v>
      </c>
      <c r="S36" s="23">
        <v>3.5</v>
      </c>
      <c r="T36" s="23" t="s">
        <v>303</v>
      </c>
      <c r="U36" s="23" t="s">
        <v>326</v>
      </c>
    </row>
    <row r="37" spans="1:21" s="24" customFormat="1" ht="65" customHeight="1" x14ac:dyDescent="0.15">
      <c r="A37" s="25" t="s">
        <v>98</v>
      </c>
      <c r="B37" s="19" t="str">
        <f>VLOOKUP($E37,Liste!$A$2:$C$34,2,FALSE)</f>
        <v>Statistik</v>
      </c>
      <c r="C37" s="15" t="s">
        <v>98</v>
      </c>
      <c r="D37" s="15" t="s">
        <v>70</v>
      </c>
      <c r="E37" s="15" t="s">
        <v>99</v>
      </c>
      <c r="F37" s="15" t="s">
        <v>39</v>
      </c>
      <c r="G37" s="15" t="s">
        <v>81</v>
      </c>
      <c r="H37" s="15" t="s">
        <v>64</v>
      </c>
      <c r="I37" s="26">
        <v>0.66666666666666696</v>
      </c>
      <c r="J37" s="26">
        <v>0.75</v>
      </c>
      <c r="K37" s="27" t="s">
        <v>370</v>
      </c>
      <c r="L37" s="27" t="s">
        <v>74</v>
      </c>
      <c r="M37" s="28" t="s">
        <v>100</v>
      </c>
      <c r="N37" s="62" t="s">
        <v>570</v>
      </c>
      <c r="O37" s="29">
        <v>65</v>
      </c>
      <c r="P37" s="27" t="str">
        <f>VLOOKUP($B37,Liste!$B$2:$C$34,2,FALSE)</f>
        <v>https://www.stat.wiwi.uni-due.de/</v>
      </c>
      <c r="Q37" s="27" t="s">
        <v>544</v>
      </c>
      <c r="R37" s="28" t="s">
        <v>90</v>
      </c>
      <c r="S37" s="30">
        <v>3</v>
      </c>
      <c r="T37" s="30" t="s">
        <v>301</v>
      </c>
      <c r="U37" s="30" t="s">
        <v>325</v>
      </c>
    </row>
    <row r="38" spans="1:21" s="24" customFormat="1" ht="65" customHeight="1" x14ac:dyDescent="0.15">
      <c r="A38" s="25" t="s">
        <v>98</v>
      </c>
      <c r="B38" s="19" t="str">
        <f>VLOOKUP($E38,Liste!$A$2:$C$34,2,FALSE)</f>
        <v>Statistik</v>
      </c>
      <c r="C38" s="15" t="s">
        <v>98</v>
      </c>
      <c r="D38" s="15" t="s">
        <v>76</v>
      </c>
      <c r="E38" s="15" t="s">
        <v>99</v>
      </c>
      <c r="F38" s="15" t="s">
        <v>101</v>
      </c>
      <c r="G38" s="15" t="s">
        <v>102</v>
      </c>
      <c r="H38" s="15" t="s">
        <v>64</v>
      </c>
      <c r="I38" s="26">
        <v>0.33333333333333298</v>
      </c>
      <c r="J38" s="26">
        <v>0.41666666666666702</v>
      </c>
      <c r="K38" s="27" t="s">
        <v>370</v>
      </c>
      <c r="L38" s="27" t="s">
        <v>74</v>
      </c>
      <c r="M38" s="28" t="s">
        <v>103</v>
      </c>
      <c r="N38" s="62" t="s">
        <v>570</v>
      </c>
      <c r="O38" s="29">
        <v>65</v>
      </c>
      <c r="P38" s="27" t="str">
        <f>VLOOKUP($B38,Liste!$B$2:$C$34,2,FALSE)</f>
        <v>https://www.stat.wiwi.uni-due.de/</v>
      </c>
      <c r="Q38" s="27" t="s">
        <v>544</v>
      </c>
      <c r="R38" s="28" t="s">
        <v>90</v>
      </c>
      <c r="S38" s="30">
        <v>3</v>
      </c>
      <c r="T38" s="30" t="s">
        <v>301</v>
      </c>
      <c r="U38" s="30" t="s">
        <v>325</v>
      </c>
    </row>
    <row r="39" spans="1:21" s="24" customFormat="1" ht="65" customHeight="1" x14ac:dyDescent="0.15">
      <c r="A39" s="25" t="s">
        <v>104</v>
      </c>
      <c r="B39" s="19" t="str">
        <f>VLOOKUP($E39,Liste!$A$2:$C$34,2,FALSE)</f>
        <v>Statistik</v>
      </c>
      <c r="C39" s="15" t="s">
        <v>104</v>
      </c>
      <c r="D39" s="15" t="s">
        <v>70</v>
      </c>
      <c r="E39" s="15" t="s">
        <v>99</v>
      </c>
      <c r="F39" s="15" t="s">
        <v>105</v>
      </c>
      <c r="G39" s="15" t="s">
        <v>93</v>
      </c>
      <c r="H39" s="15" t="s">
        <v>64</v>
      </c>
      <c r="I39" s="26">
        <v>0.5</v>
      </c>
      <c r="J39" s="26">
        <v>0.58333333333333304</v>
      </c>
      <c r="K39" s="27" t="s">
        <v>316</v>
      </c>
      <c r="L39" s="27" t="s">
        <v>66</v>
      </c>
      <c r="M39" s="28"/>
      <c r="N39" s="15" t="s">
        <v>400</v>
      </c>
      <c r="O39" s="29">
        <v>66</v>
      </c>
      <c r="P39" s="19" t="str">
        <f>VLOOKUP($B39,Liste!$B$2:$C$34,2,FALSE)</f>
        <v>https://www.stat.wiwi.uni-due.de/</v>
      </c>
      <c r="Q39" s="15" t="s">
        <v>495</v>
      </c>
      <c r="R39" s="28" t="s">
        <v>90</v>
      </c>
      <c r="S39" s="30">
        <v>3</v>
      </c>
      <c r="T39" s="30" t="s">
        <v>301</v>
      </c>
      <c r="U39" s="30" t="s">
        <v>326</v>
      </c>
    </row>
    <row r="40" spans="1:21" s="24" customFormat="1" ht="65" customHeight="1" x14ac:dyDescent="0.15">
      <c r="A40" s="25" t="s">
        <v>104</v>
      </c>
      <c r="B40" s="19" t="str">
        <f>VLOOKUP($E40,Liste!$A$2:$C$34,2,FALSE)</f>
        <v>Statistik</v>
      </c>
      <c r="C40" s="15" t="s">
        <v>104</v>
      </c>
      <c r="D40" s="15" t="s">
        <v>76</v>
      </c>
      <c r="E40" s="15" t="s">
        <v>99</v>
      </c>
      <c r="F40" s="15" t="s">
        <v>11</v>
      </c>
      <c r="G40" s="15" t="s">
        <v>93</v>
      </c>
      <c r="H40" s="15" t="s">
        <v>64</v>
      </c>
      <c r="I40" s="26">
        <v>0.58333333333333337</v>
      </c>
      <c r="J40" s="26">
        <v>0.66666666666666663</v>
      </c>
      <c r="K40" s="27" t="s">
        <v>316</v>
      </c>
      <c r="L40" s="27" t="s">
        <v>66</v>
      </c>
      <c r="M40" s="28"/>
      <c r="N40" s="15" t="s">
        <v>400</v>
      </c>
      <c r="O40" s="29">
        <v>66</v>
      </c>
      <c r="P40" s="19" t="str">
        <f>VLOOKUP($B40,Liste!$B$2:$C$34,2,FALSE)</f>
        <v>https://www.stat.wiwi.uni-due.de/</v>
      </c>
      <c r="Q40" s="15" t="s">
        <v>495</v>
      </c>
      <c r="R40" s="28" t="s">
        <v>90</v>
      </c>
      <c r="S40" s="30">
        <v>3</v>
      </c>
      <c r="T40" s="30" t="s">
        <v>301</v>
      </c>
      <c r="U40" s="30" t="s">
        <v>326</v>
      </c>
    </row>
    <row r="41" spans="1:21" s="24" customFormat="1" ht="65" customHeight="1" x14ac:dyDescent="0.15">
      <c r="A41" s="25" t="s">
        <v>85</v>
      </c>
      <c r="B41" s="19" t="str">
        <f>VLOOKUP($E41,Liste!$A$2:$C$34,2,FALSE)</f>
        <v>Mikroökonomik</v>
      </c>
      <c r="C41" s="15" t="s">
        <v>85</v>
      </c>
      <c r="D41" s="15" t="s">
        <v>70</v>
      </c>
      <c r="E41" s="15" t="s">
        <v>86</v>
      </c>
      <c r="F41" s="15" t="s">
        <v>87</v>
      </c>
      <c r="G41" s="15" t="s">
        <v>81</v>
      </c>
      <c r="H41" s="15" t="s">
        <v>88</v>
      </c>
      <c r="I41" s="26">
        <v>0.41666666666666702</v>
      </c>
      <c r="J41" s="26">
        <v>0.5</v>
      </c>
      <c r="K41" s="27" t="s">
        <v>316</v>
      </c>
      <c r="L41" s="27" t="s">
        <v>66</v>
      </c>
      <c r="M41" s="28"/>
      <c r="N41" s="15" t="s">
        <v>401</v>
      </c>
      <c r="O41" s="29">
        <v>51</v>
      </c>
      <c r="P41" s="19" t="str">
        <f>VLOOKUP($B41,Liste!$B$2:$C$34,2,FALSE)</f>
        <v>https://www.mikro.wiwi.uni-due.de/</v>
      </c>
      <c r="Q41" s="15" t="s">
        <v>89</v>
      </c>
      <c r="R41" s="28" t="s">
        <v>90</v>
      </c>
      <c r="S41" s="30">
        <v>3</v>
      </c>
      <c r="T41" s="30" t="s">
        <v>303</v>
      </c>
      <c r="U41" s="30" t="s">
        <v>326</v>
      </c>
    </row>
    <row r="42" spans="1:21" s="24" customFormat="1" ht="65" customHeight="1" x14ac:dyDescent="0.15">
      <c r="A42" s="25" t="s">
        <v>85</v>
      </c>
      <c r="B42" s="19" t="str">
        <f>VLOOKUP($E42,Liste!$A$2:$C$34,2,FALSE)</f>
        <v>Mikroökonomik</v>
      </c>
      <c r="C42" s="15" t="s">
        <v>85</v>
      </c>
      <c r="D42" s="15" t="s">
        <v>76</v>
      </c>
      <c r="E42" s="15" t="s">
        <v>86</v>
      </c>
      <c r="F42" s="15" t="s">
        <v>91</v>
      </c>
      <c r="G42" s="15" t="s">
        <v>81</v>
      </c>
      <c r="H42" s="15" t="s">
        <v>88</v>
      </c>
      <c r="I42" s="26">
        <v>0.33333333333333298</v>
      </c>
      <c r="J42" s="26">
        <v>0.41666666666666702</v>
      </c>
      <c r="K42" s="27" t="s">
        <v>316</v>
      </c>
      <c r="L42" s="27" t="s">
        <v>66</v>
      </c>
      <c r="M42" s="28"/>
      <c r="N42" s="15" t="s">
        <v>402</v>
      </c>
      <c r="O42" s="29">
        <v>51</v>
      </c>
      <c r="P42" s="19" t="str">
        <f>VLOOKUP($B42,Liste!$B$2:$C$34,2,FALSE)</f>
        <v>https://www.mikro.wiwi.uni-due.de/</v>
      </c>
      <c r="Q42" s="15" t="s">
        <v>89</v>
      </c>
      <c r="R42" s="28" t="s">
        <v>90</v>
      </c>
      <c r="S42" s="30">
        <v>3</v>
      </c>
      <c r="T42" s="30" t="s">
        <v>303</v>
      </c>
      <c r="U42" s="30" t="s">
        <v>326</v>
      </c>
    </row>
    <row r="43" spans="1:21" s="24" customFormat="1" ht="65" customHeight="1" x14ac:dyDescent="0.15">
      <c r="A43" s="25" t="s">
        <v>155</v>
      </c>
      <c r="B43" s="19" t="str">
        <f>VLOOKUP($E43,Liste!$A$2:$C$34,2,FALSE)</f>
        <v>Ökonometrie</v>
      </c>
      <c r="C43" s="15" t="s">
        <v>155</v>
      </c>
      <c r="D43" s="15" t="s">
        <v>61</v>
      </c>
      <c r="E43" s="15" t="s">
        <v>71</v>
      </c>
      <c r="F43" s="15" t="s">
        <v>156</v>
      </c>
      <c r="G43" s="15"/>
      <c r="H43" s="15" t="s">
        <v>64</v>
      </c>
      <c r="I43" s="26"/>
      <c r="J43" s="26"/>
      <c r="K43" s="27" t="s">
        <v>65</v>
      </c>
      <c r="L43" s="27" t="s">
        <v>66</v>
      </c>
      <c r="M43" s="28" t="s">
        <v>157</v>
      </c>
      <c r="N43" s="15" t="s">
        <v>403</v>
      </c>
      <c r="O43" s="29">
        <v>81</v>
      </c>
      <c r="P43" s="19" t="str">
        <f>VLOOKUP($B43,Liste!$B$2:$C$34,2,FALSE)</f>
        <v>https://www.oek.wiwi.uni-due.de/</v>
      </c>
      <c r="Q43" s="15" t="s">
        <v>158</v>
      </c>
      <c r="R43" s="28" t="s">
        <v>67</v>
      </c>
      <c r="S43" s="30">
        <v>6</v>
      </c>
      <c r="T43" s="30" t="s">
        <v>302</v>
      </c>
      <c r="U43" s="30" t="s">
        <v>326</v>
      </c>
    </row>
    <row r="44" spans="1:21" s="24" customFormat="1" ht="65" customHeight="1" x14ac:dyDescent="0.15">
      <c r="A44" s="25" t="s">
        <v>159</v>
      </c>
      <c r="B44" s="19" t="str">
        <f>VLOOKUP($E44,Liste!$A$2:$C$34,2,FALSE)</f>
        <v>Lehrstuhl für VWL, insb. Finanzwissenschaften</v>
      </c>
      <c r="C44" s="15" t="s">
        <v>159</v>
      </c>
      <c r="D44" s="15" t="s">
        <v>61</v>
      </c>
      <c r="E44" s="15" t="s">
        <v>128</v>
      </c>
      <c r="F44" s="15" t="s">
        <v>160</v>
      </c>
      <c r="G44" s="15"/>
      <c r="H44" s="15" t="s">
        <v>64</v>
      </c>
      <c r="I44" s="26"/>
      <c r="J44" s="26"/>
      <c r="K44" s="27" t="s">
        <v>65</v>
      </c>
      <c r="L44" s="27" t="s">
        <v>66</v>
      </c>
      <c r="M44" s="28" t="s">
        <v>161</v>
      </c>
      <c r="N44" s="27" t="s">
        <v>321</v>
      </c>
      <c r="O44" s="29">
        <v>58</v>
      </c>
      <c r="P44" s="27" t="str">
        <f>VLOOKUP($B44,Liste!$B$2:$C$34,2,FALSE)</f>
        <v>https://www.fiwi.wiwi.uni-due.de/</v>
      </c>
      <c r="Q44" s="27" t="s">
        <v>162</v>
      </c>
      <c r="R44" s="28" t="s">
        <v>90</v>
      </c>
      <c r="S44" s="30">
        <v>6</v>
      </c>
      <c r="T44" s="30" t="s">
        <v>301</v>
      </c>
      <c r="U44" s="30" t="s">
        <v>326</v>
      </c>
    </row>
    <row r="45" spans="1:21" s="24" customFormat="1" ht="65" customHeight="1" x14ac:dyDescent="0.15">
      <c r="A45" s="31" t="s">
        <v>226</v>
      </c>
      <c r="B45" s="20" t="str">
        <f>VLOOKUP($E45,Liste!$A$2:$C$34,2,FALSE)</f>
        <v> Quantitative Analyse (Statistik/Ökonometrie)</v>
      </c>
      <c r="C45" s="16" t="s">
        <v>226</v>
      </c>
      <c r="D45" s="16" t="s">
        <v>70</v>
      </c>
      <c r="E45" s="16" t="s">
        <v>268</v>
      </c>
      <c r="F45" s="16" t="s">
        <v>4</v>
      </c>
      <c r="G45" s="16" t="s">
        <v>63</v>
      </c>
      <c r="H45" s="16" t="s">
        <v>269</v>
      </c>
      <c r="I45" s="32">
        <v>0.41666666666666702</v>
      </c>
      <c r="J45" s="32">
        <v>0.5</v>
      </c>
      <c r="K45" s="16" t="s">
        <v>472</v>
      </c>
      <c r="L45" s="16" t="s">
        <v>66</v>
      </c>
      <c r="M45" s="33" t="s">
        <v>356</v>
      </c>
      <c r="N45" s="16" t="s">
        <v>502</v>
      </c>
      <c r="O45" s="34">
        <v>27</v>
      </c>
      <c r="P45" s="20" t="str">
        <f>VLOOKUP($B45,Liste!$B$2:$C$34,2,FALSE)</f>
        <v>https://www.wiwi.ruhr-uni-bochum.de/statoek/index.html.de</v>
      </c>
      <c r="Q45" s="16" t="s">
        <v>492</v>
      </c>
      <c r="R45" s="16" t="s">
        <v>67</v>
      </c>
      <c r="S45" s="34">
        <v>10</v>
      </c>
      <c r="T45" s="16" t="s">
        <v>302</v>
      </c>
      <c r="U45" s="16" t="s">
        <v>326</v>
      </c>
    </row>
    <row r="46" spans="1:21" s="24" customFormat="1" ht="65" customHeight="1" x14ac:dyDescent="0.15">
      <c r="A46" s="31" t="s">
        <v>226</v>
      </c>
      <c r="B46" s="20" t="str">
        <f>VLOOKUP($E46,Liste!$A$2:$C$34,2,FALSE)</f>
        <v> Quantitative Analyse (Statistik/Ökonometrie)</v>
      </c>
      <c r="C46" s="16" t="s">
        <v>226</v>
      </c>
      <c r="D46" s="16" t="s">
        <v>76</v>
      </c>
      <c r="E46" s="16" t="s">
        <v>268</v>
      </c>
      <c r="F46" s="16" t="s">
        <v>279</v>
      </c>
      <c r="G46" s="16" t="s">
        <v>63</v>
      </c>
      <c r="H46" s="16" t="s">
        <v>269</v>
      </c>
      <c r="I46" s="32">
        <v>0.33333333333333298</v>
      </c>
      <c r="J46" s="32">
        <v>0.41666666666666702</v>
      </c>
      <c r="K46" s="16" t="s">
        <v>472</v>
      </c>
      <c r="L46" s="16" t="s">
        <v>66</v>
      </c>
      <c r="M46" s="33" t="s">
        <v>356</v>
      </c>
      <c r="N46" s="16" t="s">
        <v>503</v>
      </c>
      <c r="O46" s="34">
        <v>27</v>
      </c>
      <c r="P46" s="20" t="str">
        <f>VLOOKUP($B46,Liste!$B$2:$C$34,2,FALSE)</f>
        <v>https://www.wiwi.ruhr-uni-bochum.de/statoek/index.html.de</v>
      </c>
      <c r="Q46" s="16" t="s">
        <v>492</v>
      </c>
      <c r="R46" s="16" t="s">
        <v>67</v>
      </c>
      <c r="S46" s="34">
        <v>10</v>
      </c>
      <c r="T46" s="16" t="s">
        <v>302</v>
      </c>
      <c r="U46" s="16" t="s">
        <v>326</v>
      </c>
    </row>
    <row r="47" spans="1:21" s="24" customFormat="1" ht="65" customHeight="1" x14ac:dyDescent="0.15">
      <c r="A47" s="23" t="s">
        <v>226</v>
      </c>
      <c r="B47" s="18" t="str">
        <f>VLOOKUP($E47,Liste!$A$2:$C$34,2,FALSE)</f>
        <v>Professur Finance</v>
      </c>
      <c r="C47" s="14" t="s">
        <v>227</v>
      </c>
      <c r="D47" s="14" t="s">
        <v>97</v>
      </c>
      <c r="E47" s="14" t="s">
        <v>199</v>
      </c>
      <c r="F47" s="14" t="s">
        <v>0</v>
      </c>
      <c r="G47" s="14" t="s">
        <v>81</v>
      </c>
      <c r="H47" s="14" t="s">
        <v>176</v>
      </c>
      <c r="I47" s="14" t="s">
        <v>190</v>
      </c>
      <c r="J47" s="14">
        <v>0.5</v>
      </c>
      <c r="K47" s="14" t="s">
        <v>316</v>
      </c>
      <c r="L47" s="14" t="s">
        <v>66</v>
      </c>
      <c r="M47" s="14" t="s">
        <v>228</v>
      </c>
      <c r="N47" s="23" t="s">
        <v>404</v>
      </c>
      <c r="O47" s="53" t="s">
        <v>510</v>
      </c>
      <c r="P47" s="49" t="str">
        <f>VLOOKUP($B47,Liste!$B$2:$C$34,2,FALSE)</f>
        <v>https://finance.wiwi.tu-dortmund.de/</v>
      </c>
      <c r="Q47" s="14" t="s">
        <v>517</v>
      </c>
      <c r="R47" s="14" t="s">
        <v>67</v>
      </c>
      <c r="S47" s="14">
        <v>7.5</v>
      </c>
      <c r="T47" s="14" t="s">
        <v>301</v>
      </c>
      <c r="U47" s="14" t="s">
        <v>326</v>
      </c>
    </row>
    <row r="48" spans="1:21" s="24" customFormat="1" ht="65" customHeight="1" x14ac:dyDescent="0.15">
      <c r="A48" s="23" t="s">
        <v>226</v>
      </c>
      <c r="B48" s="18" t="str">
        <f>VLOOKUP($E48,Liste!$A$2:$C$34,2,FALSE)</f>
        <v>Professur Finance</v>
      </c>
      <c r="C48" s="14" t="s">
        <v>227</v>
      </c>
      <c r="D48" s="14" t="s">
        <v>97</v>
      </c>
      <c r="E48" s="14" t="s">
        <v>199</v>
      </c>
      <c r="F48" s="14" t="s">
        <v>0</v>
      </c>
      <c r="G48" s="14" t="s">
        <v>63</v>
      </c>
      <c r="H48" s="14" t="s">
        <v>176</v>
      </c>
      <c r="I48" s="14">
        <v>0.33333333333333298</v>
      </c>
      <c r="J48" s="14">
        <v>0.41666666666666702</v>
      </c>
      <c r="K48" s="14" t="s">
        <v>316</v>
      </c>
      <c r="L48" s="14" t="s">
        <v>66</v>
      </c>
      <c r="M48" s="14" t="s">
        <v>228</v>
      </c>
      <c r="N48" s="23" t="s">
        <v>404</v>
      </c>
      <c r="O48" s="14" t="s">
        <v>510</v>
      </c>
      <c r="P48" s="49" t="str">
        <f>VLOOKUP($B48,Liste!$B$2:$C$34,2,FALSE)</f>
        <v>https://finance.wiwi.tu-dortmund.de/</v>
      </c>
      <c r="Q48" s="14" t="s">
        <v>517</v>
      </c>
      <c r="R48" s="14" t="s">
        <v>67</v>
      </c>
      <c r="S48" s="14">
        <v>7.5</v>
      </c>
      <c r="T48" s="14" t="s">
        <v>301</v>
      </c>
      <c r="U48" s="14" t="s">
        <v>326</v>
      </c>
    </row>
    <row r="49" spans="1:21" s="24" customFormat="1" ht="65" customHeight="1" x14ac:dyDescent="0.15">
      <c r="A49" s="25" t="s">
        <v>110</v>
      </c>
      <c r="B49" s="19" t="str">
        <f>VLOOKUP($E49,Liste!$A$2:$C$34,2,FALSE)</f>
        <v>Lehrstuhl für Energiehandel und Finanzdienstleistungen</v>
      </c>
      <c r="C49" s="15" t="s">
        <v>110</v>
      </c>
      <c r="D49" s="15" t="s">
        <v>70</v>
      </c>
      <c r="E49" s="15" t="s">
        <v>111</v>
      </c>
      <c r="F49" s="15" t="s">
        <v>112</v>
      </c>
      <c r="G49" s="15" t="s">
        <v>102</v>
      </c>
      <c r="H49" s="15" t="s">
        <v>64</v>
      </c>
      <c r="I49" s="26">
        <v>0.66666666666666696</v>
      </c>
      <c r="J49" s="26">
        <v>0.75</v>
      </c>
      <c r="K49" s="27" t="s">
        <v>65</v>
      </c>
      <c r="L49" s="27" t="s">
        <v>66</v>
      </c>
      <c r="M49" s="28" t="s">
        <v>113</v>
      </c>
      <c r="N49" s="15" t="s">
        <v>405</v>
      </c>
      <c r="O49" s="29">
        <v>67</v>
      </c>
      <c r="P49" s="19" t="str">
        <f>VLOOKUP($B49,Liste!$B$2:$C$34,2,FALSE)</f>
        <v>https://www.lef.wiwi.uni-due.de/</v>
      </c>
      <c r="Q49" s="15" t="s">
        <v>114</v>
      </c>
      <c r="R49" s="28" t="s">
        <v>67</v>
      </c>
      <c r="S49" s="30">
        <v>3</v>
      </c>
      <c r="T49" s="30" t="s">
        <v>301</v>
      </c>
      <c r="U49" s="30" t="s">
        <v>326</v>
      </c>
    </row>
    <row r="50" spans="1:21" s="24" customFormat="1" ht="65" customHeight="1" x14ac:dyDescent="0.15">
      <c r="A50" s="25" t="s">
        <v>110</v>
      </c>
      <c r="B50" s="19" t="str">
        <f>VLOOKUP($E50,Liste!$A$2:$C$34,2,FALSE)</f>
        <v>Lehrstuhl für Energiehandel und Finanzdienstleistungen</v>
      </c>
      <c r="C50" s="15" t="s">
        <v>110</v>
      </c>
      <c r="D50" s="15" t="s">
        <v>76</v>
      </c>
      <c r="E50" s="15" t="s">
        <v>111</v>
      </c>
      <c r="F50" s="15" t="s">
        <v>17</v>
      </c>
      <c r="G50" s="15" t="s">
        <v>115</v>
      </c>
      <c r="H50" s="15" t="s">
        <v>64</v>
      </c>
      <c r="I50" s="26">
        <v>0.66666666666666696</v>
      </c>
      <c r="J50" s="26">
        <v>0.75</v>
      </c>
      <c r="K50" s="27" t="s">
        <v>65</v>
      </c>
      <c r="L50" s="27" t="s">
        <v>66</v>
      </c>
      <c r="M50" s="28"/>
      <c r="N50" s="15" t="s">
        <v>406</v>
      </c>
      <c r="O50" s="29">
        <v>67</v>
      </c>
      <c r="P50" s="19" t="str">
        <f>VLOOKUP($B50,Liste!$B$2:$C$34,2,FALSE)</f>
        <v>https://www.lef.wiwi.uni-due.de/</v>
      </c>
      <c r="Q50" s="15" t="s">
        <v>114</v>
      </c>
      <c r="R50" s="28" t="s">
        <v>67</v>
      </c>
      <c r="S50" s="30">
        <v>3</v>
      </c>
      <c r="T50" s="30" t="s">
        <v>301</v>
      </c>
      <c r="U50" s="30" t="s">
        <v>326</v>
      </c>
    </row>
    <row r="51" spans="1:21" ht="65" customHeight="1" x14ac:dyDescent="0.15">
      <c r="A51" s="25" t="s">
        <v>116</v>
      </c>
      <c r="B51" s="19" t="str">
        <f>VLOOKUP($E51,Liste!$A$2:$C$34,2,FALSE)</f>
        <v>Lehrstuhl für Energiehandel und Finanzdienstleistungen</v>
      </c>
      <c r="C51" s="15" t="s">
        <v>116</v>
      </c>
      <c r="D51" s="15" t="s">
        <v>70</v>
      </c>
      <c r="E51" s="15" t="s">
        <v>111</v>
      </c>
      <c r="F51" s="15" t="s">
        <v>19</v>
      </c>
      <c r="G51" s="15" t="s">
        <v>102</v>
      </c>
      <c r="H51" s="15" t="s">
        <v>64</v>
      </c>
      <c r="I51" s="26">
        <v>0.41666666666666702</v>
      </c>
      <c r="J51" s="26">
        <v>0.58333333333333304</v>
      </c>
      <c r="K51" s="27" t="s">
        <v>65</v>
      </c>
      <c r="L51" s="27" t="s">
        <v>66</v>
      </c>
      <c r="M51" s="28" t="s">
        <v>117</v>
      </c>
      <c r="N51" s="15" t="s">
        <v>407</v>
      </c>
      <c r="O51" s="29">
        <v>68</v>
      </c>
      <c r="P51" s="19" t="str">
        <f>VLOOKUP($B51,Liste!$B$2:$C$34,2,FALSE)</f>
        <v>https://www.lef.wiwi.uni-due.de/</v>
      </c>
      <c r="Q51" s="15" t="s">
        <v>118</v>
      </c>
      <c r="R51" s="28" t="s">
        <v>67</v>
      </c>
      <c r="S51" s="30">
        <v>3</v>
      </c>
      <c r="T51" s="30" t="s">
        <v>301</v>
      </c>
      <c r="U51" s="30" t="s">
        <v>326</v>
      </c>
    </row>
    <row r="52" spans="1:21" ht="65" customHeight="1" x14ac:dyDescent="0.15">
      <c r="A52" s="25" t="s">
        <v>116</v>
      </c>
      <c r="B52" s="19" t="str">
        <f>VLOOKUP($E52,Liste!$A$2:$C$34,2,FALSE)</f>
        <v>Lehrstuhl für Energiehandel und Finanzdienstleistungen</v>
      </c>
      <c r="C52" s="15" t="s">
        <v>116</v>
      </c>
      <c r="D52" s="15" t="s">
        <v>76</v>
      </c>
      <c r="E52" s="15" t="s">
        <v>111</v>
      </c>
      <c r="F52" s="15" t="s">
        <v>6</v>
      </c>
      <c r="G52" s="15" t="s">
        <v>115</v>
      </c>
      <c r="H52" s="15" t="s">
        <v>64</v>
      </c>
      <c r="I52" s="26">
        <v>0.41666666666666702</v>
      </c>
      <c r="J52" s="26">
        <v>0.5</v>
      </c>
      <c r="K52" s="27" t="s">
        <v>65</v>
      </c>
      <c r="L52" s="27" t="s">
        <v>66</v>
      </c>
      <c r="M52" s="28"/>
      <c r="N52" s="15" t="s">
        <v>408</v>
      </c>
      <c r="O52" s="29">
        <v>68</v>
      </c>
      <c r="P52" s="19" t="str">
        <f>VLOOKUP($B52,Liste!$B$2:$C$34,2,FALSE)</f>
        <v>https://www.lef.wiwi.uni-due.de/</v>
      </c>
      <c r="Q52" s="15" t="s">
        <v>118</v>
      </c>
      <c r="R52" s="28" t="s">
        <v>67</v>
      </c>
      <c r="S52" s="30">
        <v>3</v>
      </c>
      <c r="T52" s="30" t="s">
        <v>301</v>
      </c>
      <c r="U52" s="30" t="s">
        <v>326</v>
      </c>
    </row>
    <row r="53" spans="1:21" ht="65" customHeight="1" x14ac:dyDescent="0.15">
      <c r="A53" s="23" t="s">
        <v>230</v>
      </c>
      <c r="B53" s="18" t="str">
        <f>VLOOKUP($E53,Liste!$A$2:$C$34,2,FALSE)</f>
        <v>VWL (Mikroökonomie)</v>
      </c>
      <c r="C53" s="14" t="s">
        <v>231</v>
      </c>
      <c r="D53" s="14" t="s">
        <v>70</v>
      </c>
      <c r="E53" s="14" t="s">
        <v>204</v>
      </c>
      <c r="F53" s="14" t="s">
        <v>3</v>
      </c>
      <c r="G53" s="14" t="s">
        <v>81</v>
      </c>
      <c r="H53" s="14" t="s">
        <v>176</v>
      </c>
      <c r="I53" s="14">
        <v>0.41666666666666702</v>
      </c>
      <c r="J53" s="14">
        <v>0.5</v>
      </c>
      <c r="K53" s="14" t="s">
        <v>316</v>
      </c>
      <c r="L53" s="14" t="s">
        <v>66</v>
      </c>
      <c r="M53" s="14"/>
      <c r="N53" s="14" t="s">
        <v>232</v>
      </c>
      <c r="O53" s="14" t="s">
        <v>598</v>
      </c>
      <c r="P53" s="18" t="str">
        <f>VLOOKUP($B53,Liste!$B$2:$C$34,2,FALSE)</f>
        <v>https://www.wiwi2.tu-dortmund.de/wiwi/mik/de/lehrstuhl/index.html</v>
      </c>
      <c r="Q53" s="14"/>
      <c r="R53" s="14" t="s">
        <v>67</v>
      </c>
      <c r="S53" s="14">
        <v>7.5</v>
      </c>
      <c r="T53" s="14" t="s">
        <v>303</v>
      </c>
      <c r="U53" s="14" t="s">
        <v>326</v>
      </c>
    </row>
    <row r="54" spans="1:21" ht="65" customHeight="1" x14ac:dyDescent="0.15">
      <c r="A54" s="23" t="s">
        <v>230</v>
      </c>
      <c r="B54" s="18" t="str">
        <f>VLOOKUP($E54,Liste!$A$2:$C$34,2,FALSE)</f>
        <v>VWL (Mikroökonomie)</v>
      </c>
      <c r="C54" s="14" t="s">
        <v>231</v>
      </c>
      <c r="D54" s="14" t="s">
        <v>76</v>
      </c>
      <c r="E54" s="14" t="s">
        <v>204</v>
      </c>
      <c r="F54" s="14" t="s">
        <v>21</v>
      </c>
      <c r="G54" s="14" t="s">
        <v>115</v>
      </c>
      <c r="H54" s="14" t="s">
        <v>176</v>
      </c>
      <c r="I54" s="14">
        <v>0.58333333333333337</v>
      </c>
      <c r="J54" s="14">
        <v>0.66666666666666663</v>
      </c>
      <c r="K54" s="14" t="s">
        <v>316</v>
      </c>
      <c r="L54" s="14" t="s">
        <v>66</v>
      </c>
      <c r="M54" s="14"/>
      <c r="N54" s="14" t="s">
        <v>333</v>
      </c>
      <c r="O54" s="14" t="s">
        <v>598</v>
      </c>
      <c r="P54" s="18" t="str">
        <f>VLOOKUP($B54,Liste!$B$2:$C$34,2,FALSE)</f>
        <v>https://www.wiwi2.tu-dortmund.de/wiwi/mik/de/lehrstuhl/index.html</v>
      </c>
      <c r="Q54" s="14"/>
      <c r="R54" s="14" t="s">
        <v>67</v>
      </c>
      <c r="S54" s="14">
        <v>7.5</v>
      </c>
      <c r="T54" s="14" t="s">
        <v>303</v>
      </c>
      <c r="U54" s="14" t="s">
        <v>326</v>
      </c>
    </row>
    <row r="55" spans="1:21" ht="65" customHeight="1" x14ac:dyDescent="0.15">
      <c r="A55" s="23" t="s">
        <v>374</v>
      </c>
      <c r="B55" s="18" t="str">
        <f>VLOOKUP($E55,Liste!$A$2:$C$34,2,FALSE)</f>
        <v>Statistical Methods for Big Data</v>
      </c>
      <c r="C55" s="14" t="s">
        <v>340</v>
      </c>
      <c r="D55" s="14" t="s">
        <v>70</v>
      </c>
      <c r="E55" s="14" t="s">
        <v>377</v>
      </c>
      <c r="F55" s="14" t="s">
        <v>375</v>
      </c>
      <c r="G55" s="14" t="s">
        <v>63</v>
      </c>
      <c r="H55" s="14" t="s">
        <v>176</v>
      </c>
      <c r="I55" s="14">
        <v>0.41666666666666669</v>
      </c>
      <c r="J55" s="14">
        <v>0.5</v>
      </c>
      <c r="K55" s="14" t="s">
        <v>316</v>
      </c>
      <c r="L55" s="14" t="s">
        <v>66</v>
      </c>
      <c r="M55" s="14"/>
      <c r="N55" s="49" t="s">
        <v>376</v>
      </c>
      <c r="O55" s="14" t="s">
        <v>507</v>
      </c>
      <c r="P55" s="49" t="str">
        <f>VLOOKUP($B55,Liste!$B$2:$C$34,2,FALSE)</f>
        <v>https://www.statistik.tu-dortmund.de/bigdata.html</v>
      </c>
      <c r="Q55" s="49"/>
      <c r="R55" s="14" t="s">
        <v>90</v>
      </c>
      <c r="S55" s="14">
        <v>9</v>
      </c>
      <c r="T55" s="14" t="s">
        <v>302</v>
      </c>
      <c r="U55" s="14" t="s">
        <v>326</v>
      </c>
    </row>
    <row r="56" spans="1:21" ht="65" customHeight="1" x14ac:dyDescent="0.15">
      <c r="A56" s="23" t="s">
        <v>374</v>
      </c>
      <c r="B56" s="18" t="str">
        <f>VLOOKUP($E56,Liste!$A$2:$C$34,2,FALSE)</f>
        <v>Statistical Methods for Big Data</v>
      </c>
      <c r="C56" s="14" t="s">
        <v>340</v>
      </c>
      <c r="D56" s="14" t="s">
        <v>70</v>
      </c>
      <c r="E56" s="14" t="s">
        <v>377</v>
      </c>
      <c r="F56" s="14" t="s">
        <v>375</v>
      </c>
      <c r="G56" s="14" t="s">
        <v>115</v>
      </c>
      <c r="H56" s="14" t="s">
        <v>176</v>
      </c>
      <c r="I56" s="14">
        <v>0.41666666666666669</v>
      </c>
      <c r="J56" s="14">
        <v>0.5</v>
      </c>
      <c r="K56" s="14" t="s">
        <v>316</v>
      </c>
      <c r="L56" s="14" t="s">
        <v>66</v>
      </c>
      <c r="M56" s="14"/>
      <c r="N56" s="49" t="s">
        <v>376</v>
      </c>
      <c r="O56" s="14" t="s">
        <v>507</v>
      </c>
      <c r="P56" s="49" t="str">
        <f>VLOOKUP($B56,Liste!$B$2:$C$34,2,FALSE)</f>
        <v>https://www.statistik.tu-dortmund.de/bigdata.html</v>
      </c>
      <c r="Q56" s="49"/>
      <c r="R56" s="14" t="s">
        <v>90</v>
      </c>
      <c r="S56" s="14">
        <v>9</v>
      </c>
      <c r="T56" s="14" t="s">
        <v>302</v>
      </c>
      <c r="U56" s="14" t="s">
        <v>326</v>
      </c>
    </row>
    <row r="57" spans="1:21" ht="65" customHeight="1" x14ac:dyDescent="0.15">
      <c r="A57" s="23" t="s">
        <v>374</v>
      </c>
      <c r="B57" s="18" t="str">
        <f>VLOOKUP($E57,Liste!$A$2:$C$34,2,FALSE)</f>
        <v>Statistical Methods for Big Data</v>
      </c>
      <c r="C57" s="14" t="s">
        <v>340</v>
      </c>
      <c r="D57" s="14" t="s">
        <v>76</v>
      </c>
      <c r="E57" s="14" t="s">
        <v>377</v>
      </c>
      <c r="F57" s="14" t="s">
        <v>378</v>
      </c>
      <c r="G57" s="14" t="s">
        <v>84</v>
      </c>
      <c r="H57" s="14" t="s">
        <v>176</v>
      </c>
      <c r="I57" s="14">
        <v>0.58333333333333337</v>
      </c>
      <c r="J57" s="14">
        <v>0.66666666666666663</v>
      </c>
      <c r="K57" s="14" t="s">
        <v>316</v>
      </c>
      <c r="L57" s="14" t="s">
        <v>66</v>
      </c>
      <c r="M57" s="14"/>
      <c r="N57" s="49" t="s">
        <v>376</v>
      </c>
      <c r="O57" s="14" t="s">
        <v>507</v>
      </c>
      <c r="P57" s="49" t="str">
        <f>VLOOKUP($B57,Liste!$B$2:$C$34,2,FALSE)</f>
        <v>https://www.statistik.tu-dortmund.de/bigdata.html</v>
      </c>
      <c r="Q57" s="49"/>
      <c r="R57" s="14" t="s">
        <v>90</v>
      </c>
      <c r="S57" s="14">
        <v>9</v>
      </c>
      <c r="T57" s="14" t="s">
        <v>302</v>
      </c>
      <c r="U57" s="14" t="s">
        <v>326</v>
      </c>
    </row>
    <row r="58" spans="1:21" ht="65" customHeight="1" x14ac:dyDescent="0.15">
      <c r="A58" s="25" t="s">
        <v>534</v>
      </c>
      <c r="B58" s="54" t="str">
        <f>VLOOKUP($E58,Liste!$A$2:$C$34,2,FALSE)</f>
        <v>Juniorprofessur für VWL, insb. Arbeitsmarkt und Gesundheit</v>
      </c>
      <c r="C58" s="25" t="s">
        <v>535</v>
      </c>
      <c r="D58" s="25" t="s">
        <v>61</v>
      </c>
      <c r="E58" s="25" t="s">
        <v>531</v>
      </c>
      <c r="F58" s="25"/>
      <c r="G58" s="25"/>
      <c r="H58" s="25" t="s">
        <v>64</v>
      </c>
      <c r="I58" s="25"/>
      <c r="J58" s="25"/>
      <c r="K58" s="25" t="s">
        <v>540</v>
      </c>
      <c r="L58" s="25" t="s">
        <v>74</v>
      </c>
      <c r="M58" s="25"/>
      <c r="N58" s="25" t="s">
        <v>539</v>
      </c>
      <c r="O58" s="25" t="s">
        <v>592</v>
      </c>
      <c r="P58" s="54" t="str">
        <f>VLOOKUP($B58,Liste!$B$2:$C$34,2,FALSE)</f>
        <v>https://www.amg.wiwi.uni-due.de</v>
      </c>
      <c r="Q58" s="25" t="s">
        <v>536</v>
      </c>
      <c r="R58" s="25" t="s">
        <v>67</v>
      </c>
      <c r="S58" s="55">
        <v>6</v>
      </c>
      <c r="T58" s="25" t="s">
        <v>303</v>
      </c>
      <c r="U58" s="25" t="s">
        <v>325</v>
      </c>
    </row>
    <row r="59" spans="1:21" ht="65" customHeight="1" x14ac:dyDescent="0.15">
      <c r="A59" s="25" t="s">
        <v>119</v>
      </c>
      <c r="B59" s="19" t="str">
        <f>VLOOKUP($E59,Liste!$A$2:$C$34,2,FALSE)</f>
        <v>Lehrstuhl für VWL, insb. Gesundheitsökonomik</v>
      </c>
      <c r="C59" s="15" t="s">
        <v>119</v>
      </c>
      <c r="D59" s="15" t="s">
        <v>70</v>
      </c>
      <c r="E59" s="15" t="s">
        <v>79</v>
      </c>
      <c r="F59" s="15" t="s">
        <v>120</v>
      </c>
      <c r="G59" s="15" t="s">
        <v>63</v>
      </c>
      <c r="H59" s="15" t="s">
        <v>64</v>
      </c>
      <c r="I59" s="26">
        <v>0.58333333333333304</v>
      </c>
      <c r="J59" s="26">
        <v>0.66666666666666696</v>
      </c>
      <c r="K59" s="27" t="s">
        <v>65</v>
      </c>
      <c r="L59" s="27" t="s">
        <v>66</v>
      </c>
      <c r="M59" s="28"/>
      <c r="N59" s="15" t="s">
        <v>409</v>
      </c>
      <c r="O59" s="29">
        <v>69</v>
      </c>
      <c r="P59" s="19" t="str">
        <f>VLOOKUP($B59,Liste!$B$2:$C$34,2,FALSE)</f>
        <v>https://www.goek.wiwi.uni-due.de/startseite/</v>
      </c>
      <c r="Q59" s="15" t="s">
        <v>121</v>
      </c>
      <c r="R59" s="28" t="s">
        <v>67</v>
      </c>
      <c r="S59" s="30">
        <v>3</v>
      </c>
      <c r="T59" s="30" t="s">
        <v>301</v>
      </c>
      <c r="U59" s="30" t="s">
        <v>326</v>
      </c>
    </row>
    <row r="60" spans="1:21" ht="65" customHeight="1" x14ac:dyDescent="0.15">
      <c r="A60" s="25" t="s">
        <v>119</v>
      </c>
      <c r="B60" s="19" t="str">
        <f>VLOOKUP($E60,Liste!$A$2:$C$34,2,FALSE)</f>
        <v>Lehrstuhl für VWL, insb. Gesundheitsökonomik</v>
      </c>
      <c r="C60" s="15" t="s">
        <v>119</v>
      </c>
      <c r="D60" s="15" t="s">
        <v>76</v>
      </c>
      <c r="E60" s="15" t="s">
        <v>79</v>
      </c>
      <c r="F60" s="15" t="s">
        <v>2</v>
      </c>
      <c r="G60" s="15" t="s">
        <v>63</v>
      </c>
      <c r="H60" s="15" t="s">
        <v>64</v>
      </c>
      <c r="I60" s="26">
        <v>0.66666666666666696</v>
      </c>
      <c r="J60" s="26">
        <v>0.75</v>
      </c>
      <c r="K60" s="27" t="s">
        <v>122</v>
      </c>
      <c r="L60" s="27" t="s">
        <v>66</v>
      </c>
      <c r="M60" s="28"/>
      <c r="N60" s="15" t="s">
        <v>410</v>
      </c>
      <c r="O60" s="29">
        <v>69</v>
      </c>
      <c r="P60" s="19" t="str">
        <f>VLOOKUP($B60,Liste!$B$2:$C$34,2,FALSE)</f>
        <v>https://www.goek.wiwi.uni-due.de/startseite/</v>
      </c>
      <c r="Q60" s="15" t="s">
        <v>121</v>
      </c>
      <c r="R60" s="28" t="s">
        <v>67</v>
      </c>
      <c r="S60" s="30">
        <v>3</v>
      </c>
      <c r="T60" s="30" t="s">
        <v>301</v>
      </c>
      <c r="U60" s="30" t="s">
        <v>326</v>
      </c>
    </row>
    <row r="61" spans="1:21" ht="65" customHeight="1" x14ac:dyDescent="0.15">
      <c r="A61" s="25" t="s">
        <v>123</v>
      </c>
      <c r="B61" s="19" t="str">
        <f>VLOOKUP($E61,Liste!$A$2:$C$34,2,FALSE)</f>
        <v>Lehrstuhl für VWL, insb. Internationale Wirtschaftsbeziehungen</v>
      </c>
      <c r="C61" s="15" t="s">
        <v>123</v>
      </c>
      <c r="D61" s="15" t="s">
        <v>70</v>
      </c>
      <c r="E61" s="15" t="s">
        <v>124</v>
      </c>
      <c r="F61" s="15" t="s">
        <v>125</v>
      </c>
      <c r="G61" s="15" t="s">
        <v>102</v>
      </c>
      <c r="H61" s="15" t="s">
        <v>64</v>
      </c>
      <c r="I61" s="26">
        <v>0.41666666666666702</v>
      </c>
      <c r="J61" s="26">
        <v>0.5</v>
      </c>
      <c r="K61" s="27" t="s">
        <v>297</v>
      </c>
      <c r="L61" s="27" t="s">
        <v>74</v>
      </c>
      <c r="M61" s="28"/>
      <c r="N61" s="28" t="s">
        <v>585</v>
      </c>
      <c r="O61" s="29">
        <v>52</v>
      </c>
      <c r="P61" s="37" t="str">
        <f>VLOOKUP($B61,Liste!$B$2:$C$34,2,FALSE)</f>
        <v>https://www.iwb.wiwi.uni-due.de/</v>
      </c>
      <c r="Q61" s="28" t="s">
        <v>560</v>
      </c>
      <c r="R61" s="28" t="s">
        <v>67</v>
      </c>
      <c r="S61" s="30">
        <v>3</v>
      </c>
      <c r="T61" s="30" t="s">
        <v>303</v>
      </c>
      <c r="U61" s="30" t="s">
        <v>325</v>
      </c>
    </row>
    <row r="62" spans="1:21" ht="65" customHeight="1" x14ac:dyDescent="0.15">
      <c r="A62" s="25" t="s">
        <v>123</v>
      </c>
      <c r="B62" s="19" t="str">
        <f>VLOOKUP($E62,Liste!$A$2:$C$34,2,FALSE)</f>
        <v>Lehrstuhl für VWL, insb. Internationale Wirtschaftsbeziehungen</v>
      </c>
      <c r="C62" s="15" t="s">
        <v>123</v>
      </c>
      <c r="D62" s="15" t="s">
        <v>76</v>
      </c>
      <c r="E62" s="15" t="s">
        <v>124</v>
      </c>
      <c r="F62" s="15" t="s">
        <v>126</v>
      </c>
      <c r="G62" s="15" t="s">
        <v>102</v>
      </c>
      <c r="H62" s="15" t="s">
        <v>64</v>
      </c>
      <c r="I62" s="26">
        <v>0.5</v>
      </c>
      <c r="J62" s="26">
        <v>0.58333333333333304</v>
      </c>
      <c r="K62" s="27" t="s">
        <v>297</v>
      </c>
      <c r="L62" s="27" t="s">
        <v>74</v>
      </c>
      <c r="M62" s="28"/>
      <c r="N62" s="28" t="s">
        <v>586</v>
      </c>
      <c r="O62" s="29">
        <v>52</v>
      </c>
      <c r="P62" s="37" t="str">
        <f>VLOOKUP($B62,Liste!$B$2:$C$34,2,FALSE)</f>
        <v>https://www.iwb.wiwi.uni-due.de/</v>
      </c>
      <c r="Q62" s="28" t="s">
        <v>560</v>
      </c>
      <c r="R62" s="28" t="s">
        <v>67</v>
      </c>
      <c r="S62" s="30">
        <v>3</v>
      </c>
      <c r="T62" s="30" t="s">
        <v>303</v>
      </c>
      <c r="U62" s="30" t="s">
        <v>325</v>
      </c>
    </row>
    <row r="63" spans="1:21" ht="65" customHeight="1" x14ac:dyDescent="0.15">
      <c r="A63" s="23" t="s">
        <v>233</v>
      </c>
      <c r="B63" s="18" t="str">
        <f>VLOOKUP($E63,Liste!$A$2:$C$34,2,FALSE)</f>
        <v>Lehrstuhl für Künstliche Intelligenz</v>
      </c>
      <c r="C63" s="14" t="s">
        <v>233</v>
      </c>
      <c r="D63" s="14" t="s">
        <v>70</v>
      </c>
      <c r="E63" s="14" t="s">
        <v>234</v>
      </c>
      <c r="F63" s="14" t="s">
        <v>334</v>
      </c>
      <c r="G63" s="14" t="s">
        <v>63</v>
      </c>
      <c r="H63" s="14" t="s">
        <v>176</v>
      </c>
      <c r="I63" s="14">
        <v>0.41666666666666669</v>
      </c>
      <c r="J63" s="14">
        <v>0.5</v>
      </c>
      <c r="K63" s="14" t="s">
        <v>316</v>
      </c>
      <c r="L63" s="14" t="s">
        <v>66</v>
      </c>
      <c r="M63" s="14"/>
      <c r="N63" s="23" t="s">
        <v>411</v>
      </c>
      <c r="O63" s="14" t="s">
        <v>599</v>
      </c>
      <c r="P63" s="23" t="str">
        <f>VLOOKUP($B63,Liste!$B$2:$C$34,2,FALSE)</f>
        <v>https://www-ai.cs.tu-dortmund.de/index.html</v>
      </c>
      <c r="Q63" s="23" t="s">
        <v>520</v>
      </c>
      <c r="R63" s="14" t="s">
        <v>90</v>
      </c>
      <c r="S63" s="14"/>
      <c r="T63" s="14" t="s">
        <v>301</v>
      </c>
      <c r="U63" s="14" t="s">
        <v>326</v>
      </c>
    </row>
    <row r="64" spans="1:21" ht="65" customHeight="1" x14ac:dyDescent="0.15">
      <c r="A64" s="23" t="s">
        <v>233</v>
      </c>
      <c r="B64" s="18" t="str">
        <f>VLOOKUP($E64,Liste!$A$2:$C$34,2,FALSE)</f>
        <v>Lehrstuhl für Künstliche Intelligenz</v>
      </c>
      <c r="C64" s="14" t="s">
        <v>233</v>
      </c>
      <c r="D64" s="14" t="s">
        <v>76</v>
      </c>
      <c r="E64" s="14" t="s">
        <v>234</v>
      </c>
      <c r="F64" s="14" t="s">
        <v>335</v>
      </c>
      <c r="G64" s="14" t="s">
        <v>102</v>
      </c>
      <c r="H64" s="14" t="s">
        <v>176</v>
      </c>
      <c r="I64" s="14">
        <v>0.58333333333333337</v>
      </c>
      <c r="J64" s="14">
        <v>0.66666666666666663</v>
      </c>
      <c r="K64" s="14" t="s">
        <v>316</v>
      </c>
      <c r="L64" s="14" t="s">
        <v>66</v>
      </c>
      <c r="M64" s="14"/>
      <c r="N64" s="23" t="s">
        <v>412</v>
      </c>
      <c r="O64" s="14" t="s">
        <v>599</v>
      </c>
      <c r="P64" s="49" t="str">
        <f>VLOOKUP($B64,Liste!$B$2:$C$34,2,FALSE)</f>
        <v>https://www-ai.cs.tu-dortmund.de/index.html</v>
      </c>
      <c r="Q64" s="23" t="s">
        <v>520</v>
      </c>
      <c r="R64" s="14" t="s">
        <v>90</v>
      </c>
      <c r="S64" s="14"/>
      <c r="T64" s="14" t="s">
        <v>301</v>
      </c>
      <c r="U64" s="14" t="s">
        <v>326</v>
      </c>
    </row>
    <row r="65" spans="1:21" ht="65" customHeight="1" x14ac:dyDescent="0.15">
      <c r="A65" s="31" t="s">
        <v>600</v>
      </c>
      <c r="B65" s="20" t="str">
        <f>VLOOKUP($E65,Liste!$A$2:$C$34,2,FALSE)</f>
        <v>Empirical Economics</v>
      </c>
      <c r="C65" s="31" t="s">
        <v>600</v>
      </c>
      <c r="D65" s="16" t="s">
        <v>70</v>
      </c>
      <c r="E65" s="16" t="s">
        <v>275</v>
      </c>
      <c r="F65" s="16" t="s">
        <v>35</v>
      </c>
      <c r="G65" s="16" t="s">
        <v>102</v>
      </c>
      <c r="H65" s="16" t="s">
        <v>269</v>
      </c>
      <c r="I65" s="32">
        <v>0.58333333333333304</v>
      </c>
      <c r="J65" s="32">
        <v>0.75</v>
      </c>
      <c r="K65" s="16" t="s">
        <v>370</v>
      </c>
      <c r="L65" s="16" t="s">
        <v>74</v>
      </c>
      <c r="M65" s="33"/>
      <c r="N65" s="16" t="s">
        <v>579</v>
      </c>
      <c r="O65" s="34">
        <v>28</v>
      </c>
      <c r="P65" s="16" t="str">
        <f>VLOOKUP($B65,Liste!$B$2:$C$34,2,FALSE)</f>
        <v>https://www.wiwi.ruhr-uni-bochum.de/empwifo/index.html.en</v>
      </c>
      <c r="Q65" s="34" t="s">
        <v>489</v>
      </c>
      <c r="R65" s="16" t="s">
        <v>67</v>
      </c>
      <c r="S65" s="34">
        <v>5</v>
      </c>
      <c r="T65" s="16" t="s">
        <v>302</v>
      </c>
      <c r="U65" s="16" t="s">
        <v>325</v>
      </c>
    </row>
    <row r="66" spans="1:21" ht="65" customHeight="1" x14ac:dyDescent="0.15">
      <c r="A66" s="67" t="s">
        <v>600</v>
      </c>
      <c r="B66" s="20" t="str">
        <f>VLOOKUP($E66,Liste!$A$2:$C$34,2,FALSE)</f>
        <v>Empirical Economics</v>
      </c>
      <c r="C66" s="31" t="s">
        <v>600</v>
      </c>
      <c r="D66" s="16" t="s">
        <v>76</v>
      </c>
      <c r="E66" s="16" t="s">
        <v>275</v>
      </c>
      <c r="F66" s="16" t="s">
        <v>34</v>
      </c>
      <c r="G66" s="16" t="s">
        <v>81</v>
      </c>
      <c r="H66" s="16" t="s">
        <v>269</v>
      </c>
      <c r="I66" s="32">
        <v>0.33333333333333331</v>
      </c>
      <c r="J66" s="32">
        <v>0.5</v>
      </c>
      <c r="K66" s="16" t="s">
        <v>370</v>
      </c>
      <c r="L66" s="16" t="s">
        <v>74</v>
      </c>
      <c r="M66" s="33"/>
      <c r="N66" s="16" t="s">
        <v>580</v>
      </c>
      <c r="O66" s="34">
        <v>28</v>
      </c>
      <c r="P66" s="16" t="str">
        <f>VLOOKUP($B66,Liste!$B$2:$C$34,2,FALSE)</f>
        <v>https://www.wiwi.ruhr-uni-bochum.de/empwifo/index.html.en</v>
      </c>
      <c r="Q66" s="34" t="s">
        <v>489</v>
      </c>
      <c r="R66" s="16" t="s">
        <v>67</v>
      </c>
      <c r="S66" s="34">
        <v>5</v>
      </c>
      <c r="T66" s="16" t="s">
        <v>302</v>
      </c>
      <c r="U66" s="16" t="s">
        <v>325</v>
      </c>
    </row>
    <row r="67" spans="1:21" ht="65" customHeight="1" x14ac:dyDescent="0.15">
      <c r="A67" s="23" t="s">
        <v>236</v>
      </c>
      <c r="B67" s="18" t="str">
        <f>VLOOKUP($E67,Liste!$A$2:$C$34,2,FALSE)</f>
        <v> Lehrstuhl für Wirtschaftspolitik </v>
      </c>
      <c r="C67" s="14" t="s">
        <v>237</v>
      </c>
      <c r="D67" s="14" t="s">
        <v>70</v>
      </c>
      <c r="E67" s="14" t="s">
        <v>238</v>
      </c>
      <c r="F67" s="14" t="s">
        <v>239</v>
      </c>
      <c r="G67" s="14" t="s">
        <v>63</v>
      </c>
      <c r="H67" s="14" t="s">
        <v>176</v>
      </c>
      <c r="I67" s="14">
        <v>0.66666666666666696</v>
      </c>
      <c r="J67" s="14">
        <v>0.75</v>
      </c>
      <c r="K67" s="14" t="s">
        <v>316</v>
      </c>
      <c r="L67" s="14" t="s">
        <v>66</v>
      </c>
      <c r="M67" s="14"/>
      <c r="N67" s="23" t="s">
        <v>413</v>
      </c>
      <c r="O67" s="14" t="s">
        <v>601</v>
      </c>
      <c r="P67" s="49" t="str">
        <f>VLOOKUP($B67,Liste!$B$2:$C$34,2,FALSE)</f>
        <v>https://www.wiwi2.tu-dortmund.de/wiwi/wp/de/lehrstuhl/index.html</v>
      </c>
      <c r="Q67" s="14" t="s">
        <v>516</v>
      </c>
      <c r="R67" s="14" t="s">
        <v>137</v>
      </c>
      <c r="S67" s="14">
        <v>7.5</v>
      </c>
      <c r="T67" s="14" t="s">
        <v>301</v>
      </c>
      <c r="U67" s="14" t="s">
        <v>326</v>
      </c>
    </row>
    <row r="68" spans="1:21" ht="65" customHeight="1" x14ac:dyDescent="0.15">
      <c r="A68" s="23" t="s">
        <v>236</v>
      </c>
      <c r="B68" s="18" t="str">
        <f>VLOOKUP($E68,Liste!$A$2:$C$34,2,FALSE)</f>
        <v> Lehrstuhl für Wirtschaftspolitik </v>
      </c>
      <c r="C68" s="14" t="s">
        <v>237</v>
      </c>
      <c r="D68" s="14" t="s">
        <v>76</v>
      </c>
      <c r="E68" s="14" t="s">
        <v>238</v>
      </c>
      <c r="F68" s="14" t="s">
        <v>240</v>
      </c>
      <c r="G68" s="14" t="s">
        <v>115</v>
      </c>
      <c r="H68" s="14" t="s">
        <v>176</v>
      </c>
      <c r="I68" s="14">
        <v>0.66666666666666696</v>
      </c>
      <c r="J68" s="14">
        <v>0.75</v>
      </c>
      <c r="K68" s="14" t="s">
        <v>316</v>
      </c>
      <c r="L68" s="14" t="s">
        <v>66</v>
      </c>
      <c r="M68" s="14"/>
      <c r="N68" s="23" t="s">
        <v>413</v>
      </c>
      <c r="O68" s="14" t="s">
        <v>601</v>
      </c>
      <c r="P68" s="49" t="str">
        <f>VLOOKUP($B68,Liste!$B$2:$C$34,2,FALSE)</f>
        <v>https://www.wiwi2.tu-dortmund.de/wiwi/wp/de/lehrstuhl/index.html</v>
      </c>
      <c r="Q68" s="14" t="s">
        <v>516</v>
      </c>
      <c r="R68" s="14" t="s">
        <v>137</v>
      </c>
      <c r="S68" s="14">
        <v>7.5</v>
      </c>
      <c r="T68" s="14" t="s">
        <v>301</v>
      </c>
      <c r="U68" s="14" t="s">
        <v>326</v>
      </c>
    </row>
    <row r="69" spans="1:21" ht="65" customHeight="1" x14ac:dyDescent="0.15">
      <c r="A69" s="25" t="s">
        <v>527</v>
      </c>
      <c r="B69" s="54" t="str">
        <f>VLOOKUP($E69,Liste!$A$2:$C$34,2,FALSE)</f>
        <v>Lehrstuhl für Arbeitsmarkt- und Migrationsökonomik</v>
      </c>
      <c r="C69" s="25" t="s">
        <v>527</v>
      </c>
      <c r="D69" s="25" t="s">
        <v>97</v>
      </c>
      <c r="E69" s="11" t="s">
        <v>528</v>
      </c>
      <c r="F69" s="25"/>
      <c r="G69" s="25" t="s">
        <v>81</v>
      </c>
      <c r="H69" s="25" t="s">
        <v>64</v>
      </c>
      <c r="I69" s="25" t="s">
        <v>177</v>
      </c>
      <c r="J69" s="25" t="s">
        <v>178</v>
      </c>
      <c r="K69" s="25" t="s">
        <v>540</v>
      </c>
      <c r="L69" s="25" t="s">
        <v>74</v>
      </c>
      <c r="M69" s="25"/>
      <c r="N69" s="25" t="s">
        <v>538</v>
      </c>
      <c r="O69" s="25" t="s">
        <v>591</v>
      </c>
      <c r="P69" s="54" t="str">
        <f>VLOOKUP($B69,Liste!$B$2:$C$34,2,FALSE)</f>
        <v>https://www.labor.wiwi.uni-due.de</v>
      </c>
      <c r="Q69" s="25" t="s">
        <v>537</v>
      </c>
      <c r="R69" s="25" t="s">
        <v>67</v>
      </c>
      <c r="S69" s="55">
        <v>6</v>
      </c>
      <c r="T69" s="25" t="s">
        <v>303</v>
      </c>
      <c r="U69" s="25" t="s">
        <v>325</v>
      </c>
    </row>
    <row r="70" spans="1:21" ht="65" customHeight="1" x14ac:dyDescent="0.15">
      <c r="A70" s="25" t="s">
        <v>298</v>
      </c>
      <c r="B70" s="19" t="str">
        <f>VLOOKUP($E70,Liste!$A$2:$C$34,2,FALSE)</f>
        <v>Lehrstuhl für VWL, insb. Finanzwissenschaften</v>
      </c>
      <c r="C70" s="15" t="s">
        <v>298</v>
      </c>
      <c r="D70" s="15" t="s">
        <v>70</v>
      </c>
      <c r="E70" s="15" t="s">
        <v>128</v>
      </c>
      <c r="F70" s="15" t="s">
        <v>42</v>
      </c>
      <c r="G70" s="15" t="s">
        <v>115</v>
      </c>
      <c r="H70" s="15" t="s">
        <v>64</v>
      </c>
      <c r="I70" s="26">
        <v>0.66666666666666696</v>
      </c>
      <c r="J70" s="26">
        <v>0.75</v>
      </c>
      <c r="K70" s="27" t="s">
        <v>297</v>
      </c>
      <c r="L70" s="27" t="s">
        <v>74</v>
      </c>
      <c r="M70" s="28"/>
      <c r="N70" s="27" t="s">
        <v>556</v>
      </c>
      <c r="O70" s="29">
        <v>70</v>
      </c>
      <c r="P70" s="56" t="str">
        <f>VLOOKUP($B70,Liste!$B$2:$C$34,2,FALSE)</f>
        <v>https://www.fiwi.wiwi.uni-due.de/</v>
      </c>
      <c r="Q70" s="27" t="s">
        <v>554</v>
      </c>
      <c r="R70" s="28" t="s">
        <v>67</v>
      </c>
      <c r="S70" s="30">
        <v>3</v>
      </c>
      <c r="T70" s="30" t="s">
        <v>301</v>
      </c>
      <c r="U70" s="30" t="s">
        <v>326</v>
      </c>
    </row>
    <row r="71" spans="1:21" ht="65" customHeight="1" x14ac:dyDescent="0.15">
      <c r="A71" s="25" t="s">
        <v>298</v>
      </c>
      <c r="B71" s="19" t="str">
        <f>VLOOKUP($E71,Liste!$A$2:$C$34,2,FALSE)</f>
        <v>Lehrstuhl für VWL, insb. Finanzwissenschaften</v>
      </c>
      <c r="C71" s="15" t="s">
        <v>298</v>
      </c>
      <c r="D71" s="15" t="s">
        <v>76</v>
      </c>
      <c r="E71" s="15" t="s">
        <v>128</v>
      </c>
      <c r="F71" s="15" t="s">
        <v>129</v>
      </c>
      <c r="G71" s="15" t="s">
        <v>102</v>
      </c>
      <c r="H71" s="15" t="s">
        <v>64</v>
      </c>
      <c r="I71" s="26">
        <v>0.41666666666666702</v>
      </c>
      <c r="J71" s="26">
        <v>0.5</v>
      </c>
      <c r="K71" s="27" t="s">
        <v>297</v>
      </c>
      <c r="L71" s="27" t="s">
        <v>74</v>
      </c>
      <c r="M71" s="28"/>
      <c r="N71" s="27" t="s">
        <v>557</v>
      </c>
      <c r="O71" s="29">
        <v>70</v>
      </c>
      <c r="P71" s="27" t="str">
        <f>VLOOKUP($B71,Liste!$B$2:$C$34,2,FALSE)</f>
        <v>https://www.fiwi.wiwi.uni-due.de/</v>
      </c>
      <c r="Q71" s="27" t="s">
        <v>554</v>
      </c>
      <c r="R71" s="28" t="s">
        <v>67</v>
      </c>
      <c r="S71" s="30">
        <v>3</v>
      </c>
      <c r="T71" s="30" t="s">
        <v>301</v>
      </c>
      <c r="U71" s="30" t="s">
        <v>326</v>
      </c>
    </row>
    <row r="72" spans="1:21" ht="65" customHeight="1" x14ac:dyDescent="0.15">
      <c r="A72" s="31" t="s">
        <v>290</v>
      </c>
      <c r="B72" s="20" t="str">
        <f>VLOOKUP($E72,Liste!$A$2:$C$34,2,FALSE)</f>
        <v> Quantitative Analyse (Statistik/Ökonometrie)</v>
      </c>
      <c r="C72" s="16" t="s">
        <v>290</v>
      </c>
      <c r="D72" s="16" t="s">
        <v>70</v>
      </c>
      <c r="E72" s="16" t="s">
        <v>268</v>
      </c>
      <c r="F72" s="16" t="s">
        <v>5</v>
      </c>
      <c r="G72" s="16" t="s">
        <v>115</v>
      </c>
      <c r="H72" s="16" t="s">
        <v>269</v>
      </c>
      <c r="I72" s="32">
        <v>0.33333333333333298</v>
      </c>
      <c r="J72" s="32">
        <v>0.41666666666666702</v>
      </c>
      <c r="K72" s="16" t="s">
        <v>472</v>
      </c>
      <c r="L72" s="16" t="s">
        <v>74</v>
      </c>
      <c r="M72" s="33" t="s">
        <v>356</v>
      </c>
      <c r="N72" s="16" t="s">
        <v>504</v>
      </c>
      <c r="O72" s="34">
        <v>29</v>
      </c>
      <c r="P72" s="20" t="str">
        <f>VLOOKUP($B72,Liste!$B$2:$C$34,2,FALSE)</f>
        <v>https://www.wiwi.ruhr-uni-bochum.de/statoek/index.html.de</v>
      </c>
      <c r="Q72" s="16" t="s">
        <v>493</v>
      </c>
      <c r="R72" s="16" t="s">
        <v>67</v>
      </c>
      <c r="S72" s="34">
        <v>10</v>
      </c>
      <c r="T72" s="16" t="s">
        <v>302</v>
      </c>
      <c r="U72" s="16" t="s">
        <v>326</v>
      </c>
    </row>
    <row r="73" spans="1:21" ht="65" customHeight="1" x14ac:dyDescent="0.15">
      <c r="A73" s="31" t="s">
        <v>290</v>
      </c>
      <c r="B73" s="20" t="str">
        <f>VLOOKUP($E73,Liste!$A$2:$C$34,2,FALSE)</f>
        <v> Quantitative Analyse (Statistik/Ökonometrie)</v>
      </c>
      <c r="C73" s="16" t="s">
        <v>290</v>
      </c>
      <c r="D73" s="16" t="s">
        <v>76</v>
      </c>
      <c r="E73" s="16" t="s">
        <v>268</v>
      </c>
      <c r="F73" s="16" t="s">
        <v>7</v>
      </c>
      <c r="G73" s="16" t="s">
        <v>115</v>
      </c>
      <c r="H73" s="16" t="s">
        <v>269</v>
      </c>
      <c r="I73" s="32"/>
      <c r="J73" s="32"/>
      <c r="K73" s="16" t="s">
        <v>472</v>
      </c>
      <c r="L73" s="16" t="s">
        <v>74</v>
      </c>
      <c r="M73" s="33" t="s">
        <v>356</v>
      </c>
      <c r="N73" s="16" t="s">
        <v>505</v>
      </c>
      <c r="O73" s="34">
        <v>29</v>
      </c>
      <c r="P73" s="20" t="str">
        <f>VLOOKUP($B73,Liste!$B$2:$C$34,2,FALSE)</f>
        <v>https://www.wiwi.ruhr-uni-bochum.de/statoek/index.html.de</v>
      </c>
      <c r="Q73" s="16" t="s">
        <v>493</v>
      </c>
      <c r="R73" s="16" t="s">
        <v>67</v>
      </c>
      <c r="S73" s="34"/>
      <c r="T73" s="16"/>
      <c r="U73" s="16" t="s">
        <v>326</v>
      </c>
    </row>
    <row r="74" spans="1:21" ht="65" customHeight="1" x14ac:dyDescent="0.15">
      <c r="A74" s="23" t="s">
        <v>382</v>
      </c>
      <c r="B74" s="18" t="str">
        <f>VLOOKUP($E74,Liste!$A$2:$C$34,2,FALSE)</f>
        <v>Wirtschafts- und Sozialstatistik</v>
      </c>
      <c r="C74" s="14" t="s">
        <v>340</v>
      </c>
      <c r="D74" s="14" t="s">
        <v>70</v>
      </c>
      <c r="E74" s="14" t="s">
        <v>483</v>
      </c>
      <c r="F74" s="14" t="s">
        <v>383</v>
      </c>
      <c r="G74" s="14" t="s">
        <v>81</v>
      </c>
      <c r="H74" s="14" t="s">
        <v>176</v>
      </c>
      <c r="I74" s="14">
        <v>0.58333333333333337</v>
      </c>
      <c r="J74" s="14">
        <v>0.66666666666666663</v>
      </c>
      <c r="K74" s="14" t="s">
        <v>316</v>
      </c>
      <c r="L74" s="14" t="s">
        <v>66</v>
      </c>
      <c r="M74" s="14"/>
      <c r="N74" s="49" t="s">
        <v>384</v>
      </c>
      <c r="O74" s="14" t="s">
        <v>507</v>
      </c>
      <c r="P74" s="49" t="str">
        <f>VLOOKUP($B74,Liste!$B$2:$C$34,2,FALSE)</f>
        <v>https://www.statistik.tu-dortmund.de/iwus.html</v>
      </c>
      <c r="Q74" s="49"/>
      <c r="R74" s="14" t="s">
        <v>90</v>
      </c>
      <c r="S74" s="14">
        <v>9</v>
      </c>
      <c r="T74" s="14" t="s">
        <v>302</v>
      </c>
      <c r="U74" s="14" t="s">
        <v>326</v>
      </c>
    </row>
    <row r="75" spans="1:21" ht="65" customHeight="1" x14ac:dyDescent="0.15">
      <c r="A75" s="23" t="s">
        <v>382</v>
      </c>
      <c r="B75" s="18" t="str">
        <f>VLOOKUP($E75,Liste!$A$2:$C$34,2,FALSE)</f>
        <v>Wirtschafts- und Sozialstatistik</v>
      </c>
      <c r="C75" s="14" t="s">
        <v>340</v>
      </c>
      <c r="D75" s="14" t="s">
        <v>76</v>
      </c>
      <c r="E75" s="14" t="s">
        <v>483</v>
      </c>
      <c r="F75" s="14" t="s">
        <v>385</v>
      </c>
      <c r="G75" s="14" t="s">
        <v>102</v>
      </c>
      <c r="H75" s="14" t="s">
        <v>176</v>
      </c>
      <c r="I75" s="14">
        <v>0.58333333333333337</v>
      </c>
      <c r="J75" s="14">
        <v>0.66666666666666663</v>
      </c>
      <c r="K75" s="14" t="s">
        <v>316</v>
      </c>
      <c r="L75" s="14" t="s">
        <v>66</v>
      </c>
      <c r="M75" s="14"/>
      <c r="N75" s="49" t="s">
        <v>384</v>
      </c>
      <c r="O75" s="14" t="s">
        <v>507</v>
      </c>
      <c r="P75" s="49" t="str">
        <f>VLOOKUP($B75,Liste!$B$2:$C$34,2,FALSE)</f>
        <v>https://www.statistik.tu-dortmund.de/iwus.html</v>
      </c>
      <c r="Q75" s="49"/>
      <c r="R75" s="14" t="s">
        <v>90</v>
      </c>
      <c r="S75" s="14">
        <v>9</v>
      </c>
      <c r="T75" s="14" t="s">
        <v>302</v>
      </c>
      <c r="U75" s="14" t="s">
        <v>326</v>
      </c>
    </row>
    <row r="76" spans="1:21" ht="65" customHeight="1" x14ac:dyDescent="0.15">
      <c r="A76" s="25" t="s">
        <v>146</v>
      </c>
      <c r="B76" s="19" t="str">
        <f>VLOOKUP($E76,Liste!$A$2:$C$34,2,FALSE)</f>
        <v>Mikroökonomik</v>
      </c>
      <c r="C76" s="15" t="s">
        <v>146</v>
      </c>
      <c r="D76" s="15" t="s">
        <v>147</v>
      </c>
      <c r="E76" s="15" t="s">
        <v>86</v>
      </c>
      <c r="F76" s="15" t="s">
        <v>36</v>
      </c>
      <c r="G76" s="15" t="s">
        <v>148</v>
      </c>
      <c r="H76" s="15" t="s">
        <v>64</v>
      </c>
      <c r="I76" s="26" t="s">
        <v>148</v>
      </c>
      <c r="J76" s="26" t="s">
        <v>148</v>
      </c>
      <c r="K76" s="27" t="s">
        <v>65</v>
      </c>
      <c r="L76" s="27" t="s">
        <v>149</v>
      </c>
      <c r="M76" s="28"/>
      <c r="N76" s="27" t="s">
        <v>320</v>
      </c>
      <c r="O76" s="29">
        <v>55</v>
      </c>
      <c r="P76" s="27" t="str">
        <f>VLOOKUP($B76,Liste!$B$2:$C$34,2,FALSE)</f>
        <v>https://www.mikro.wiwi.uni-due.de/</v>
      </c>
      <c r="Q76" s="27" t="s">
        <v>150</v>
      </c>
      <c r="R76" s="28" t="s">
        <v>67</v>
      </c>
      <c r="S76" s="30">
        <v>6</v>
      </c>
      <c r="T76" s="30" t="s">
        <v>303</v>
      </c>
      <c r="U76" s="30" t="s">
        <v>326</v>
      </c>
    </row>
    <row r="77" spans="1:21" ht="65" customHeight="1" x14ac:dyDescent="0.15">
      <c r="A77" s="25" t="s">
        <v>367</v>
      </c>
      <c r="B77" s="19" t="str">
        <f>VLOOKUP($E77,Liste!$A$2:$C$34,2,FALSE)</f>
        <v>Ökonometrie</v>
      </c>
      <c r="C77" s="15" t="s">
        <v>219</v>
      </c>
      <c r="D77" s="15" t="s">
        <v>70</v>
      </c>
      <c r="E77" s="15" t="s">
        <v>71</v>
      </c>
      <c r="F77" s="15" t="s">
        <v>368</v>
      </c>
      <c r="G77" s="15" t="s">
        <v>81</v>
      </c>
      <c r="H77" s="15" t="s">
        <v>64</v>
      </c>
      <c r="I77" s="26">
        <v>0.41666666666666669</v>
      </c>
      <c r="J77" s="26">
        <v>0.5</v>
      </c>
      <c r="K77" s="27" t="s">
        <v>316</v>
      </c>
      <c r="L77" s="27" t="s">
        <v>66</v>
      </c>
      <c r="M77" s="28" t="s">
        <v>369</v>
      </c>
      <c r="N77" s="15" t="s">
        <v>414</v>
      </c>
      <c r="O77" s="29">
        <v>4</v>
      </c>
      <c r="P77" s="19" t="str">
        <f>VLOOKUP($B77,Liste!$B$2:$C$34,2,FALSE)</f>
        <v>https://www.oek.wiwi.uni-due.de/</v>
      </c>
      <c r="Q77" s="15" t="s">
        <v>371</v>
      </c>
      <c r="R77" s="28" t="s">
        <v>67</v>
      </c>
      <c r="S77" s="30">
        <v>10</v>
      </c>
      <c r="T77" s="30" t="s">
        <v>307</v>
      </c>
      <c r="U77" s="30" t="s">
        <v>326</v>
      </c>
    </row>
    <row r="78" spans="1:21" ht="65" customHeight="1" x14ac:dyDescent="0.15">
      <c r="A78" s="25" t="s">
        <v>367</v>
      </c>
      <c r="B78" s="19" t="str">
        <f>VLOOKUP($E78,Liste!$A$2:$C$34,2,FALSE)</f>
        <v>Ökonometrie</v>
      </c>
      <c r="C78" s="15" t="s">
        <v>219</v>
      </c>
      <c r="D78" s="15" t="s">
        <v>70</v>
      </c>
      <c r="E78" s="15" t="s">
        <v>71</v>
      </c>
      <c r="F78" s="15" t="s">
        <v>372</v>
      </c>
      <c r="G78" s="15" t="s">
        <v>81</v>
      </c>
      <c r="H78" s="15" t="s">
        <v>64</v>
      </c>
      <c r="I78" s="26">
        <v>0.5</v>
      </c>
      <c r="J78" s="26">
        <v>0.58333333333333337</v>
      </c>
      <c r="K78" s="27" t="s">
        <v>316</v>
      </c>
      <c r="L78" s="27" t="s">
        <v>66</v>
      </c>
      <c r="M78" s="28"/>
      <c r="N78" s="15" t="s">
        <v>415</v>
      </c>
      <c r="O78" s="29">
        <v>4</v>
      </c>
      <c r="P78" s="19" t="str">
        <f>VLOOKUP($B78,Liste!$B$2:$C$34,2,FALSE)</f>
        <v>https://www.oek.wiwi.uni-due.de/</v>
      </c>
      <c r="Q78" s="15" t="s">
        <v>371</v>
      </c>
      <c r="R78" s="28" t="s">
        <v>67</v>
      </c>
      <c r="S78" s="30">
        <v>10</v>
      </c>
      <c r="T78" s="30" t="s">
        <v>307</v>
      </c>
      <c r="U78" s="30" t="s">
        <v>326</v>
      </c>
    </row>
    <row r="79" spans="1:21" ht="65" customHeight="1" x14ac:dyDescent="0.15">
      <c r="A79" s="25" t="s">
        <v>130</v>
      </c>
      <c r="B79" s="19" t="str">
        <f>VLOOKUP($E79,Liste!$A$2:$C$34,2,FALSE)</f>
        <v>Ökonometrie</v>
      </c>
      <c r="C79" s="15" t="s">
        <v>69</v>
      </c>
      <c r="D79" s="15" t="s">
        <v>70</v>
      </c>
      <c r="E79" s="15" t="s">
        <v>71</v>
      </c>
      <c r="F79" s="15" t="s">
        <v>8</v>
      </c>
      <c r="G79" s="15" t="s">
        <v>93</v>
      </c>
      <c r="H79" s="15" t="s">
        <v>64</v>
      </c>
      <c r="I79" s="26">
        <v>0.41666666666666702</v>
      </c>
      <c r="J79" s="26">
        <v>0.58333333333333304</v>
      </c>
      <c r="K79" s="27" t="s">
        <v>131</v>
      </c>
      <c r="L79" s="27" t="s">
        <v>66</v>
      </c>
      <c r="M79" s="28"/>
      <c r="N79" s="27" t="s">
        <v>132</v>
      </c>
      <c r="O79" s="29">
        <v>64</v>
      </c>
      <c r="P79" s="27" t="str">
        <f>VLOOKUP($B79,Liste!$B$2:$C$34,2,FALSE)</f>
        <v>https://www.oek.wiwi.uni-due.de/</v>
      </c>
      <c r="Q79" s="27" t="s">
        <v>75</v>
      </c>
      <c r="R79" s="28" t="s">
        <v>67</v>
      </c>
      <c r="S79" s="30">
        <v>3</v>
      </c>
      <c r="T79" s="30" t="s">
        <v>302</v>
      </c>
      <c r="U79" s="30" t="s">
        <v>326</v>
      </c>
    </row>
    <row r="80" spans="1:21" ht="65" customHeight="1" x14ac:dyDescent="0.15">
      <c r="A80" s="25" t="s">
        <v>130</v>
      </c>
      <c r="B80" s="19" t="str">
        <f>VLOOKUP($E80,Liste!$A$2:$C$34,2,FALSE)</f>
        <v>Ökonometrie</v>
      </c>
      <c r="C80" s="15" t="s">
        <v>69</v>
      </c>
      <c r="D80" s="15" t="s">
        <v>76</v>
      </c>
      <c r="E80" s="15" t="s">
        <v>71</v>
      </c>
      <c r="F80" s="15" t="s">
        <v>18</v>
      </c>
      <c r="G80" s="15" t="s">
        <v>93</v>
      </c>
      <c r="H80" s="15" t="s">
        <v>64</v>
      </c>
      <c r="I80" s="26">
        <v>0.58333333333333304</v>
      </c>
      <c r="J80" s="26">
        <v>0.66666666666666696</v>
      </c>
      <c r="K80" s="27" t="s">
        <v>131</v>
      </c>
      <c r="L80" s="27" t="s">
        <v>66</v>
      </c>
      <c r="M80" s="28"/>
      <c r="N80" s="27" t="s">
        <v>133</v>
      </c>
      <c r="O80" s="29">
        <v>64</v>
      </c>
      <c r="P80" s="27" t="str">
        <f>VLOOKUP($B80,Liste!$B$2:$C$34,2,FALSE)</f>
        <v>https://www.oek.wiwi.uni-due.de/</v>
      </c>
      <c r="Q80" s="27" t="s">
        <v>75</v>
      </c>
      <c r="R80" s="28" t="s">
        <v>67</v>
      </c>
      <c r="S80" s="30">
        <v>3</v>
      </c>
      <c r="T80" s="30" t="s">
        <v>302</v>
      </c>
      <c r="U80" s="30" t="s">
        <v>326</v>
      </c>
    </row>
    <row r="81" spans="1:21" ht="65" customHeight="1" x14ac:dyDescent="0.15">
      <c r="A81" s="25" t="s">
        <v>134</v>
      </c>
      <c r="B81" s="19" t="str">
        <f>VLOOKUP($E81,Liste!$A$2:$C$34,2,FALSE)</f>
        <v>Chair of Environmental Economics,
 esp. Economics of Renewable Energy</v>
      </c>
      <c r="C81" s="15" t="s">
        <v>134</v>
      </c>
      <c r="D81" s="15" t="s">
        <v>70</v>
      </c>
      <c r="E81" s="15" t="s">
        <v>361</v>
      </c>
      <c r="F81" s="15" t="s">
        <v>135</v>
      </c>
      <c r="G81" s="15" t="s">
        <v>63</v>
      </c>
      <c r="H81" s="15" t="s">
        <v>64</v>
      </c>
      <c r="I81" s="26">
        <v>0.5</v>
      </c>
      <c r="J81" s="26">
        <v>0.58333333333333304</v>
      </c>
      <c r="K81" s="27" t="s">
        <v>370</v>
      </c>
      <c r="L81" s="27" t="s">
        <v>74</v>
      </c>
      <c r="M81" s="28" t="s">
        <v>136</v>
      </c>
      <c r="N81" s="62" t="s">
        <v>481</v>
      </c>
      <c r="O81" s="29">
        <v>72</v>
      </c>
      <c r="P81" s="27" t="str">
        <f>VLOOKUP($B81,Liste!$B$2:$C$34,2,FALSE)</f>
        <v>https://www.uee.wiwi.uni-due.de</v>
      </c>
      <c r="Q81" s="27" t="s">
        <v>543</v>
      </c>
      <c r="R81" s="28" t="s">
        <v>137</v>
      </c>
      <c r="S81" s="30">
        <v>3</v>
      </c>
      <c r="T81" s="30" t="s">
        <v>301</v>
      </c>
      <c r="U81" s="30" t="s">
        <v>326</v>
      </c>
    </row>
    <row r="82" spans="1:21" ht="65" customHeight="1" x14ac:dyDescent="0.15">
      <c r="A82" s="25" t="s">
        <v>134</v>
      </c>
      <c r="B82" s="19" t="str">
        <f>VLOOKUP($E82,Liste!$A$2:$C$34,2,FALSE)</f>
        <v>Chair of Environmental Economics,
 esp. Economics of Renewable Energy</v>
      </c>
      <c r="C82" s="15" t="s">
        <v>134</v>
      </c>
      <c r="D82" s="15" t="s">
        <v>76</v>
      </c>
      <c r="E82" s="15" t="s">
        <v>361</v>
      </c>
      <c r="F82" s="15" t="s">
        <v>138</v>
      </c>
      <c r="G82" s="15" t="s">
        <v>102</v>
      </c>
      <c r="H82" s="15" t="s">
        <v>64</v>
      </c>
      <c r="I82" s="26">
        <v>0.33333333333333298</v>
      </c>
      <c r="J82" s="26">
        <v>0.41666666666666702</v>
      </c>
      <c r="K82" s="27" t="s">
        <v>370</v>
      </c>
      <c r="L82" s="27" t="s">
        <v>74</v>
      </c>
      <c r="M82" s="28" t="s">
        <v>136</v>
      </c>
      <c r="N82" s="62" t="s">
        <v>482</v>
      </c>
      <c r="O82" s="29">
        <v>72</v>
      </c>
      <c r="P82" s="27" t="str">
        <f>VLOOKUP($B82,Liste!$B$2:$C$34,2,FALSE)</f>
        <v>https://www.uee.wiwi.uni-due.de</v>
      </c>
      <c r="Q82" s="27" t="s">
        <v>543</v>
      </c>
      <c r="R82" s="28" t="s">
        <v>137</v>
      </c>
      <c r="S82" s="30">
        <v>3</v>
      </c>
      <c r="T82" s="30" t="s">
        <v>301</v>
      </c>
      <c r="U82" s="30" t="s">
        <v>326</v>
      </c>
    </row>
    <row r="83" spans="1:21" ht="65" customHeight="1" x14ac:dyDescent="0.15">
      <c r="A83" s="25" t="s">
        <v>314</v>
      </c>
      <c r="B83" s="19" t="str">
        <f>VLOOKUP($E83,Liste!$A$2:$C$34,2,FALSE)</f>
        <v>Ökonometrie</v>
      </c>
      <c r="C83" s="15" t="s">
        <v>314</v>
      </c>
      <c r="D83" s="15" t="s">
        <v>61</v>
      </c>
      <c r="E83" s="15" t="s">
        <v>71</v>
      </c>
      <c r="F83" s="15" t="s">
        <v>315</v>
      </c>
      <c r="G83" s="15"/>
      <c r="H83" s="15" t="s">
        <v>64</v>
      </c>
      <c r="I83" s="26"/>
      <c r="J83" s="26"/>
      <c r="K83" s="27" t="s">
        <v>316</v>
      </c>
      <c r="L83" s="27" t="s">
        <v>66</v>
      </c>
      <c r="M83" s="28" t="s">
        <v>322</v>
      </c>
      <c r="N83" s="15" t="s">
        <v>602</v>
      </c>
      <c r="O83" s="29">
        <v>73</v>
      </c>
      <c r="P83" s="19" t="str">
        <f>VLOOKUP($B83,Liste!$B$2:$C$34,2,FALSE)</f>
        <v>https://www.oek.wiwi.uni-due.de/</v>
      </c>
      <c r="Q83" s="15" t="s">
        <v>496</v>
      </c>
      <c r="R83" s="28" t="s">
        <v>67</v>
      </c>
      <c r="S83" s="30">
        <v>6</v>
      </c>
      <c r="T83" s="30" t="s">
        <v>301</v>
      </c>
      <c r="U83" s="30" t="s">
        <v>325</v>
      </c>
    </row>
    <row r="84" spans="1:21" ht="65" customHeight="1" x14ac:dyDescent="0.15">
      <c r="A84" s="31" t="s">
        <v>280</v>
      </c>
      <c r="B84" s="38" t="str">
        <f>VLOOKUP($E84,Liste!$A$2:$C$34,2,FALSE)</f>
        <v>Finanzwissenschaft und Wirtschaftspolitik</v>
      </c>
      <c r="C84" s="16" t="s">
        <v>280</v>
      </c>
      <c r="D84" s="16" t="s">
        <v>70</v>
      </c>
      <c r="E84" s="16" t="s">
        <v>474</v>
      </c>
      <c r="F84" s="16" t="s">
        <v>25</v>
      </c>
      <c r="G84" s="16" t="s">
        <v>102</v>
      </c>
      <c r="H84" s="16" t="s">
        <v>269</v>
      </c>
      <c r="I84" s="32">
        <v>0.33333333333333298</v>
      </c>
      <c r="J84" s="32">
        <v>0.5</v>
      </c>
      <c r="K84" s="16" t="s">
        <v>370</v>
      </c>
      <c r="L84" s="16" t="s">
        <v>74</v>
      </c>
      <c r="M84" s="33"/>
      <c r="N84" s="60" t="s">
        <v>568</v>
      </c>
      <c r="O84" s="34">
        <v>18</v>
      </c>
      <c r="P84" s="38" t="str">
        <f>VLOOKUP($B84,Liste!$B$2:$C$34,2,FALSE)</f>
        <v>https://www.wiwi.ruhr-uni-bochum.de/fiwipo/index.html.de</v>
      </c>
      <c r="Q84" s="16" t="s">
        <v>484</v>
      </c>
      <c r="R84" s="16" t="s">
        <v>67</v>
      </c>
      <c r="S84" s="34">
        <v>10</v>
      </c>
      <c r="T84" s="16" t="s">
        <v>303</v>
      </c>
      <c r="U84" s="16" t="s">
        <v>325</v>
      </c>
    </row>
    <row r="85" spans="1:21" ht="65" customHeight="1" x14ac:dyDescent="0.15">
      <c r="A85" s="31" t="s">
        <v>280</v>
      </c>
      <c r="B85" s="20" t="str">
        <f>VLOOKUP($E85,Liste!$A$2:$C$34,2,FALSE)</f>
        <v>Finanzwissenschaft und Wirtschaftspolitik</v>
      </c>
      <c r="C85" s="16" t="s">
        <v>280</v>
      </c>
      <c r="D85" s="16" t="s">
        <v>76</v>
      </c>
      <c r="E85" s="16" t="s">
        <v>474</v>
      </c>
      <c r="F85" s="16" t="s">
        <v>26</v>
      </c>
      <c r="G85" s="16" t="s">
        <v>102</v>
      </c>
      <c r="H85" s="16" t="s">
        <v>269</v>
      </c>
      <c r="I85" s="32">
        <v>0.5</v>
      </c>
      <c r="J85" s="32">
        <v>0.58333333333333337</v>
      </c>
      <c r="K85" s="16" t="s">
        <v>370</v>
      </c>
      <c r="L85" s="16" t="s">
        <v>74</v>
      </c>
      <c r="M85" s="33" t="s">
        <v>357</v>
      </c>
      <c r="N85" s="60" t="s">
        <v>569</v>
      </c>
      <c r="O85" s="34">
        <v>18</v>
      </c>
      <c r="P85" s="20" t="str">
        <f>VLOOKUP($B85,Liste!$B$2:$C$34,2,FALSE)</f>
        <v>https://www.wiwi.ruhr-uni-bochum.de/fiwipo/index.html.de</v>
      </c>
      <c r="Q85" s="16" t="s">
        <v>484</v>
      </c>
      <c r="R85" s="16" t="s">
        <v>67</v>
      </c>
      <c r="S85" s="34">
        <v>10</v>
      </c>
      <c r="T85" s="16" t="s">
        <v>303</v>
      </c>
      <c r="U85" s="16" t="s">
        <v>325</v>
      </c>
    </row>
    <row r="86" spans="1:21" ht="65" customHeight="1" x14ac:dyDescent="0.15">
      <c r="A86" s="25" t="s">
        <v>142</v>
      </c>
      <c r="B86" s="19" t="str">
        <f>VLOOKUP($E86,Liste!$A$2:$C$34,2,FALSE)</f>
        <v>Lehrstuhl für Energiehandel und Finanzdienstleistungen</v>
      </c>
      <c r="C86" s="15" t="s">
        <v>142</v>
      </c>
      <c r="D86" s="15" t="s">
        <v>70</v>
      </c>
      <c r="E86" s="15" t="s">
        <v>111</v>
      </c>
      <c r="F86" s="15" t="s">
        <v>143</v>
      </c>
      <c r="G86" s="15" t="s">
        <v>102</v>
      </c>
      <c r="H86" s="15" t="s">
        <v>64</v>
      </c>
      <c r="I86" s="26">
        <v>0.41666666666666702</v>
      </c>
      <c r="J86" s="26">
        <v>0.5</v>
      </c>
      <c r="K86" s="27" t="s">
        <v>82</v>
      </c>
      <c r="L86" s="27" t="s">
        <v>74</v>
      </c>
      <c r="M86" s="28" t="s">
        <v>144</v>
      </c>
      <c r="N86" s="27" t="s">
        <v>558</v>
      </c>
      <c r="O86" s="29">
        <v>76</v>
      </c>
      <c r="P86" s="27" t="str">
        <f>VLOOKUP($B86,Liste!$B$2:$C$34,2,FALSE)</f>
        <v>https://www.lef.wiwi.uni-due.de/</v>
      </c>
      <c r="Q86" s="27" t="s">
        <v>555</v>
      </c>
      <c r="R86" s="28" t="s">
        <v>67</v>
      </c>
      <c r="S86" s="30">
        <v>3</v>
      </c>
      <c r="T86" s="30" t="s">
        <v>301</v>
      </c>
      <c r="U86" s="30" t="s">
        <v>325</v>
      </c>
    </row>
    <row r="87" spans="1:21" ht="65" customHeight="1" x14ac:dyDescent="0.15">
      <c r="A87" s="25" t="s">
        <v>142</v>
      </c>
      <c r="B87" s="19" t="str">
        <f>VLOOKUP($E87,Liste!$A$2:$C$34,2,FALSE)</f>
        <v>Lehrstuhl für Energiehandel und Finanzdienstleistungen</v>
      </c>
      <c r="C87" s="15" t="s">
        <v>142</v>
      </c>
      <c r="D87" s="15" t="s">
        <v>76</v>
      </c>
      <c r="E87" s="15" t="s">
        <v>111</v>
      </c>
      <c r="F87" s="15" t="s">
        <v>28</v>
      </c>
      <c r="G87" s="15" t="s">
        <v>115</v>
      </c>
      <c r="H87" s="15" t="s">
        <v>64</v>
      </c>
      <c r="I87" s="26">
        <v>0.41666666666666702</v>
      </c>
      <c r="J87" s="26">
        <v>0.5</v>
      </c>
      <c r="K87" s="27" t="s">
        <v>82</v>
      </c>
      <c r="L87" s="27" t="s">
        <v>74</v>
      </c>
      <c r="M87" s="28" t="s">
        <v>145</v>
      </c>
      <c r="N87" s="27" t="s">
        <v>559</v>
      </c>
      <c r="O87" s="29">
        <v>76</v>
      </c>
      <c r="P87" s="27" t="str">
        <f>VLOOKUP($B87,Liste!$B$2:$C$34,2,FALSE)</f>
        <v>https://www.lef.wiwi.uni-due.de/</v>
      </c>
      <c r="Q87" s="27" t="s">
        <v>555</v>
      </c>
      <c r="R87" s="28" t="s">
        <v>67</v>
      </c>
      <c r="S87" s="30">
        <v>3</v>
      </c>
      <c r="T87" s="30" t="s">
        <v>301</v>
      </c>
      <c r="U87" s="30" t="s">
        <v>325</v>
      </c>
    </row>
    <row r="88" spans="1:21" ht="65" customHeight="1" x14ac:dyDescent="0.15">
      <c r="A88" s="23" t="s">
        <v>300</v>
      </c>
      <c r="B88" s="18" t="str">
        <f>VLOOKUP($E88,Liste!$A$2:$C$34,2,FALSE)</f>
        <v>Professur Finance</v>
      </c>
      <c r="C88" s="14" t="s">
        <v>198</v>
      </c>
      <c r="D88" s="14" t="s">
        <v>70</v>
      </c>
      <c r="E88" s="14" t="s">
        <v>199</v>
      </c>
      <c r="F88" s="14" t="s">
        <v>229</v>
      </c>
      <c r="G88" s="14" t="s">
        <v>63</v>
      </c>
      <c r="H88" s="14" t="s">
        <v>176</v>
      </c>
      <c r="I88" s="14" t="s">
        <v>211</v>
      </c>
      <c r="J88" s="14" t="s">
        <v>191</v>
      </c>
      <c r="K88" s="14" t="s">
        <v>297</v>
      </c>
      <c r="L88" s="14" t="s">
        <v>74</v>
      </c>
      <c r="M88" s="14"/>
      <c r="N88" s="63" t="s">
        <v>576</v>
      </c>
      <c r="O88" s="14" t="s">
        <v>590</v>
      </c>
      <c r="P88" s="49" t="str">
        <f>VLOOKUP($B88,Liste!$B$2:$C$34,2,FALSE)</f>
        <v>https://finance.wiwi.tu-dortmund.de/</v>
      </c>
      <c r="Q88" s="14" t="s">
        <v>552</v>
      </c>
      <c r="R88" s="14" t="s">
        <v>67</v>
      </c>
      <c r="S88" s="14">
        <v>4</v>
      </c>
      <c r="T88" s="14" t="s">
        <v>303</v>
      </c>
      <c r="U88" s="14" t="s">
        <v>325</v>
      </c>
    </row>
    <row r="89" spans="1:21" ht="65" customHeight="1" x14ac:dyDescent="0.15">
      <c r="A89" s="23" t="s">
        <v>300</v>
      </c>
      <c r="B89" s="18" t="str">
        <f>VLOOKUP($E89,Liste!$A$2:$C$34,2,FALSE)</f>
        <v>Professur Finance</v>
      </c>
      <c r="C89" s="14" t="s">
        <v>198</v>
      </c>
      <c r="D89" s="14" t="s">
        <v>70</v>
      </c>
      <c r="E89" s="14" t="s">
        <v>199</v>
      </c>
      <c r="F89" s="14" t="s">
        <v>200</v>
      </c>
      <c r="G89" s="14" t="s">
        <v>81</v>
      </c>
      <c r="H89" s="14" t="s">
        <v>176</v>
      </c>
      <c r="I89" s="14" t="s">
        <v>201</v>
      </c>
      <c r="J89" s="14" t="s">
        <v>191</v>
      </c>
      <c r="K89" s="14" t="s">
        <v>297</v>
      </c>
      <c r="L89" s="14" t="s">
        <v>74</v>
      </c>
      <c r="M89" s="14" t="s">
        <v>470</v>
      </c>
      <c r="N89" s="63" t="s">
        <v>576</v>
      </c>
      <c r="O89" s="14" t="s">
        <v>590</v>
      </c>
      <c r="P89" s="49" t="str">
        <f>VLOOKUP($B89,Liste!$B$2:$C$34,2,FALSE)</f>
        <v>https://finance.wiwi.tu-dortmund.de/</v>
      </c>
      <c r="Q89" s="14" t="s">
        <v>552</v>
      </c>
      <c r="R89" s="14" t="s">
        <v>67</v>
      </c>
      <c r="S89" s="14">
        <v>3.5</v>
      </c>
      <c r="T89" s="14" t="s">
        <v>301</v>
      </c>
      <c r="U89" s="14" t="s">
        <v>325</v>
      </c>
    </row>
    <row r="90" spans="1:21" ht="65" customHeight="1" x14ac:dyDescent="0.15">
      <c r="A90" s="25" t="s">
        <v>139</v>
      </c>
      <c r="B90" s="19" t="str">
        <f>VLOOKUP($E90,Liste!$A$2:$C$34,2,FALSE)</f>
        <v>Lehrstuhl für VWL, insb. Internationale Wirtschaftsbeziehungen</v>
      </c>
      <c r="C90" s="15" t="s">
        <v>139</v>
      </c>
      <c r="D90" s="15" t="s">
        <v>70</v>
      </c>
      <c r="E90" s="15" t="s">
        <v>124</v>
      </c>
      <c r="F90" s="15" t="s">
        <v>140</v>
      </c>
      <c r="G90" s="15" t="s">
        <v>102</v>
      </c>
      <c r="H90" s="15" t="s">
        <v>64</v>
      </c>
      <c r="I90" s="26">
        <v>0.41666666666666702</v>
      </c>
      <c r="J90" s="26">
        <v>0.5</v>
      </c>
      <c r="K90" s="27" t="s">
        <v>65</v>
      </c>
      <c r="L90" s="27" t="s">
        <v>66</v>
      </c>
      <c r="M90" s="28"/>
      <c r="N90" s="28" t="s">
        <v>416</v>
      </c>
      <c r="O90" s="29">
        <v>75</v>
      </c>
      <c r="P90" s="37" t="str">
        <f>VLOOKUP($B90,Liste!$B$2:$C$34,2,FALSE)</f>
        <v>https://www.iwb.wiwi.uni-due.de/</v>
      </c>
      <c r="Q90" s="28" t="s">
        <v>141</v>
      </c>
      <c r="R90" s="28" t="s">
        <v>90</v>
      </c>
      <c r="S90" s="30">
        <v>3</v>
      </c>
      <c r="T90" s="30" t="s">
        <v>301</v>
      </c>
      <c r="U90" s="30" t="s">
        <v>326</v>
      </c>
    </row>
    <row r="91" spans="1:21" ht="65" customHeight="1" x14ac:dyDescent="0.15">
      <c r="A91" s="25" t="s">
        <v>139</v>
      </c>
      <c r="B91" s="19" t="str">
        <f>VLOOKUP($E91,Liste!$A$2:$C$34,2,FALSE)</f>
        <v>Lehrstuhl für VWL, insb. Internationale Wirtschaftsbeziehungen</v>
      </c>
      <c r="C91" s="15" t="s">
        <v>139</v>
      </c>
      <c r="D91" s="15" t="s">
        <v>76</v>
      </c>
      <c r="E91" s="15" t="s">
        <v>124</v>
      </c>
      <c r="F91" s="15" t="s">
        <v>12</v>
      </c>
      <c r="G91" s="15" t="s">
        <v>102</v>
      </c>
      <c r="H91" s="15" t="s">
        <v>64</v>
      </c>
      <c r="I91" s="26">
        <v>0.5</v>
      </c>
      <c r="J91" s="26">
        <v>0.58333333333333304</v>
      </c>
      <c r="K91" s="27" t="s">
        <v>106</v>
      </c>
      <c r="L91" s="27" t="s">
        <v>66</v>
      </c>
      <c r="M91" s="28"/>
      <c r="N91" s="28" t="s">
        <v>417</v>
      </c>
      <c r="O91" s="29">
        <v>75</v>
      </c>
      <c r="P91" s="37" t="str">
        <f>VLOOKUP($B91,Liste!$B$2:$C$34,2,FALSE)</f>
        <v>https://www.iwb.wiwi.uni-due.de/</v>
      </c>
      <c r="Q91" s="28" t="s">
        <v>141</v>
      </c>
      <c r="R91" s="28" t="s">
        <v>90</v>
      </c>
      <c r="S91" s="30">
        <v>3</v>
      </c>
      <c r="T91" s="30" t="s">
        <v>301</v>
      </c>
      <c r="U91" s="30" t="s">
        <v>326</v>
      </c>
    </row>
    <row r="92" spans="1:21" ht="65" customHeight="1" x14ac:dyDescent="0.15">
      <c r="A92" s="23" t="s">
        <v>241</v>
      </c>
      <c r="B92" s="18" t="str">
        <f>VLOOKUP($E92,Liste!$A$2:$C$34,2,FALSE)</f>
        <v>Professur Finance</v>
      </c>
      <c r="C92" s="14" t="s">
        <v>242</v>
      </c>
      <c r="D92" s="14" t="s">
        <v>169</v>
      </c>
      <c r="E92" s="14" t="s">
        <v>199</v>
      </c>
      <c r="F92" s="14" t="s">
        <v>243</v>
      </c>
      <c r="G92" s="14" t="s">
        <v>81</v>
      </c>
      <c r="H92" s="14" t="s">
        <v>176</v>
      </c>
      <c r="I92" s="14">
        <v>0.66666666666666696</v>
      </c>
      <c r="J92" s="14">
        <v>0.72916666666666696</v>
      </c>
      <c r="K92" s="14" t="s">
        <v>82</v>
      </c>
      <c r="L92" s="14" t="s">
        <v>225</v>
      </c>
      <c r="M92" s="14" t="s">
        <v>244</v>
      </c>
      <c r="N92" s="63" t="s">
        <v>577</v>
      </c>
      <c r="O92" s="14" t="s">
        <v>513</v>
      </c>
      <c r="P92" s="49" t="str">
        <f>VLOOKUP($B92,Liste!$B$2:$C$34,2,FALSE)</f>
        <v>https://finance.wiwi.tu-dortmund.de/</v>
      </c>
      <c r="Q92" s="14" t="s">
        <v>553</v>
      </c>
      <c r="R92" s="14" t="s">
        <v>67</v>
      </c>
      <c r="S92" s="14">
        <v>4</v>
      </c>
      <c r="T92" s="14" t="s">
        <v>303</v>
      </c>
      <c r="U92" s="14" t="s">
        <v>325</v>
      </c>
    </row>
    <row r="93" spans="1:21" ht="65" customHeight="1" x14ac:dyDescent="0.15">
      <c r="A93" s="23" t="s">
        <v>589</v>
      </c>
      <c r="B93" s="18" t="str">
        <f>VLOOKUP($E93,Liste!$A$2:$C$34,2,FALSE)</f>
        <v>Statistik mit Anwendungen im Bereich der Ingenieurwissenschaften</v>
      </c>
      <c r="C93" s="14" t="s">
        <v>340</v>
      </c>
      <c r="D93" s="14" t="s">
        <v>70</v>
      </c>
      <c r="E93" s="14" t="s">
        <v>246</v>
      </c>
      <c r="F93" s="14" t="s">
        <v>341</v>
      </c>
      <c r="G93" s="14" t="s">
        <v>102</v>
      </c>
      <c r="H93" s="14" t="s">
        <v>176</v>
      </c>
      <c r="I93" s="14">
        <v>0.41666666666666669</v>
      </c>
      <c r="J93" s="14">
        <v>0.5</v>
      </c>
      <c r="K93" s="14" t="s">
        <v>297</v>
      </c>
      <c r="L93" s="14" t="s">
        <v>74</v>
      </c>
      <c r="M93" s="14"/>
      <c r="N93" s="63" t="s">
        <v>343</v>
      </c>
      <c r="O93" s="14" t="s">
        <v>507</v>
      </c>
      <c r="P93" s="49" t="str">
        <f>VLOOKUP($B93,Liste!$B$2:$C$34,2,FALSE)</f>
        <v>https://www.statistik.tu-dortmund.de/ingenieurswissenschaften.html</v>
      </c>
      <c r="Q93" s="49" t="s">
        <v>247</v>
      </c>
      <c r="R93" s="14" t="s">
        <v>90</v>
      </c>
      <c r="S93" s="14">
        <v>9</v>
      </c>
      <c r="T93" s="14" t="s">
        <v>302</v>
      </c>
      <c r="U93" s="14" t="s">
        <v>326</v>
      </c>
    </row>
    <row r="94" spans="1:21" ht="65" customHeight="1" x14ac:dyDescent="0.15">
      <c r="A94" s="23" t="s">
        <v>589</v>
      </c>
      <c r="B94" s="18" t="str">
        <f>VLOOKUP($E94,Liste!$A$2:$C$34,2,FALSE)</f>
        <v>Statistik mit Anwendungen im Bereich der Ingenieurwissenschaften</v>
      </c>
      <c r="C94" s="14" t="s">
        <v>340</v>
      </c>
      <c r="D94" s="14" t="s">
        <v>76</v>
      </c>
      <c r="E94" s="14" t="s">
        <v>246</v>
      </c>
      <c r="F94" s="14" t="s">
        <v>342</v>
      </c>
      <c r="G94" s="14" t="s">
        <v>63</v>
      </c>
      <c r="H94" s="14" t="s">
        <v>176</v>
      </c>
      <c r="I94" s="14">
        <v>0.5</v>
      </c>
      <c r="J94" s="14">
        <v>0.58333333333333337</v>
      </c>
      <c r="K94" s="14" t="s">
        <v>297</v>
      </c>
      <c r="L94" s="14" t="s">
        <v>74</v>
      </c>
      <c r="M94" s="14"/>
      <c r="N94" s="63" t="s">
        <v>344</v>
      </c>
      <c r="O94" s="14" t="s">
        <v>507</v>
      </c>
      <c r="P94" s="49" t="str">
        <f>VLOOKUP($B94,Liste!$B$2:$C$34,2,FALSE)</f>
        <v>https://www.statistik.tu-dortmund.de/ingenieurswissenschaften.html</v>
      </c>
      <c r="Q94" s="49" t="s">
        <v>247</v>
      </c>
      <c r="R94" s="14" t="s">
        <v>90</v>
      </c>
      <c r="S94" s="14">
        <v>9</v>
      </c>
      <c r="T94" s="14" t="s">
        <v>302</v>
      </c>
      <c r="U94" s="14" t="s">
        <v>326</v>
      </c>
    </row>
    <row r="95" spans="1:21" ht="65" customHeight="1" x14ac:dyDescent="0.15">
      <c r="A95" s="31" t="s">
        <v>281</v>
      </c>
      <c r="B95" s="20" t="str">
        <f>VLOOKUP($E95,Liste!$A$2:$C$34,2,FALSE)</f>
        <v>Lehrstuhl für Wirtschaftspolitik und angewandte Ökonometrie</v>
      </c>
      <c r="C95" s="16" t="s">
        <v>281</v>
      </c>
      <c r="D95" s="16" t="s">
        <v>61</v>
      </c>
      <c r="E95" s="16" t="s">
        <v>282</v>
      </c>
      <c r="F95" s="16" t="s">
        <v>283</v>
      </c>
      <c r="G95" s="16"/>
      <c r="H95" s="16" t="s">
        <v>269</v>
      </c>
      <c r="I95" s="32"/>
      <c r="J95" s="32"/>
      <c r="K95" s="16" t="s">
        <v>472</v>
      </c>
      <c r="L95" s="16" t="s">
        <v>149</v>
      </c>
      <c r="M95" s="33" t="s">
        <v>358</v>
      </c>
      <c r="N95" s="16" t="s">
        <v>603</v>
      </c>
      <c r="O95" s="34">
        <v>31</v>
      </c>
      <c r="P95" s="20" t="str">
        <f>VLOOKUP($B95,Liste!$B$2:$C$34,2,FALSE)</f>
        <v>https://www.wiwi.ruhr-uni-bochum.de/wipooek/index.html.de</v>
      </c>
      <c r="Q95" s="16" t="s">
        <v>487</v>
      </c>
      <c r="R95" s="16" t="s">
        <v>67</v>
      </c>
      <c r="S95" s="34">
        <v>5</v>
      </c>
      <c r="T95" s="16" t="s">
        <v>303</v>
      </c>
      <c r="U95" s="16" t="s">
        <v>325</v>
      </c>
    </row>
    <row r="96" spans="1:21" ht="65" customHeight="1" x14ac:dyDescent="0.15">
      <c r="A96" s="31" t="s">
        <v>284</v>
      </c>
      <c r="B96" s="20" t="str">
        <f>VLOOKUP($E96,Liste!$A$2:$C$34,2,FALSE)</f>
        <v> Quantitative Analyse (Statistik/Ökonometrie)</v>
      </c>
      <c r="C96" s="16" t="s">
        <v>284</v>
      </c>
      <c r="D96" s="16" t="s">
        <v>61</v>
      </c>
      <c r="E96" s="16" t="s">
        <v>268</v>
      </c>
      <c r="F96" s="16" t="s">
        <v>285</v>
      </c>
      <c r="G96" s="16" t="s">
        <v>81</v>
      </c>
      <c r="H96" s="16" t="s">
        <v>269</v>
      </c>
      <c r="I96" s="32" t="s">
        <v>186</v>
      </c>
      <c r="J96" s="32" t="s">
        <v>178</v>
      </c>
      <c r="K96" s="16" t="s">
        <v>472</v>
      </c>
      <c r="L96" s="16" t="s">
        <v>149</v>
      </c>
      <c r="M96" s="33" t="s">
        <v>356</v>
      </c>
      <c r="N96" s="16" t="s">
        <v>604</v>
      </c>
      <c r="O96" s="34">
        <v>30</v>
      </c>
      <c r="P96" s="20" t="str">
        <f>VLOOKUP($B96,Liste!$B$2:$C$34,2,FALSE)</f>
        <v>https://www.wiwi.ruhr-uni-bochum.de/statoek/index.html.de</v>
      </c>
      <c r="Q96" s="16" t="s">
        <v>494</v>
      </c>
      <c r="R96" s="16" t="s">
        <v>67</v>
      </c>
      <c r="S96" s="34">
        <v>5</v>
      </c>
      <c r="T96" s="16" t="s">
        <v>302</v>
      </c>
      <c r="U96" s="16" t="s">
        <v>325</v>
      </c>
    </row>
    <row r="97" spans="1:1028" ht="65" customHeight="1" x14ac:dyDescent="0.15">
      <c r="A97" s="23" t="s">
        <v>248</v>
      </c>
      <c r="B97" s="18" t="str">
        <f>VLOOKUP($E97,Liste!$A$2:$C$34,2,FALSE)</f>
        <v>VWL (Mikroökonomie)</v>
      </c>
      <c r="C97" s="14" t="s">
        <v>203</v>
      </c>
      <c r="D97" s="14" t="s">
        <v>61</v>
      </c>
      <c r="E97" s="14" t="s">
        <v>204</v>
      </c>
      <c r="F97" s="14" t="s">
        <v>249</v>
      </c>
      <c r="G97" s="14" t="s">
        <v>93</v>
      </c>
      <c r="H97" s="14" t="s">
        <v>176</v>
      </c>
      <c r="I97" s="14">
        <v>0.41666666666666669</v>
      </c>
      <c r="J97" s="14">
        <v>0.58333333333333337</v>
      </c>
      <c r="K97" s="14" t="s">
        <v>316</v>
      </c>
      <c r="L97" s="14" t="s">
        <v>66</v>
      </c>
      <c r="M97" s="14" t="s">
        <v>346</v>
      </c>
      <c r="N97" s="14" t="s">
        <v>345</v>
      </c>
      <c r="O97" s="14" t="s">
        <v>515</v>
      </c>
      <c r="P97" s="18" t="str">
        <f>VLOOKUP($B97,Liste!$B$2:$C$34,2,FALSE)</f>
        <v>https://www.wiwi2.tu-dortmund.de/wiwi/mik/de/lehrstuhl/index.html</v>
      </c>
      <c r="Q97" s="14"/>
      <c r="R97" s="14" t="s">
        <v>67</v>
      </c>
      <c r="S97" s="14">
        <v>4</v>
      </c>
      <c r="T97" s="14" t="s">
        <v>303</v>
      </c>
      <c r="U97" s="14" t="s">
        <v>326</v>
      </c>
    </row>
    <row r="98" spans="1:1028" ht="65" customHeight="1" x14ac:dyDescent="0.15">
      <c r="A98" s="31" t="s">
        <v>286</v>
      </c>
      <c r="B98" s="20" t="str">
        <f>VLOOKUP($E98,Liste!$A$2:$C$34,2,FALSE)</f>
        <v>Empirical Economics</v>
      </c>
      <c r="C98" s="16" t="s">
        <v>286</v>
      </c>
      <c r="D98" s="16" t="s">
        <v>61</v>
      </c>
      <c r="E98" s="16" t="s">
        <v>275</v>
      </c>
      <c r="F98" s="16" t="s">
        <v>16</v>
      </c>
      <c r="G98" s="16" t="s">
        <v>102</v>
      </c>
      <c r="H98" s="16" t="s">
        <v>269</v>
      </c>
      <c r="I98" s="32">
        <v>0.58333333333333304</v>
      </c>
      <c r="J98" s="32">
        <v>0.66666666666666663</v>
      </c>
      <c r="K98" s="16" t="s">
        <v>316</v>
      </c>
      <c r="L98" s="16" t="s">
        <v>66</v>
      </c>
      <c r="M98" s="33"/>
      <c r="N98" s="16" t="s">
        <v>359</v>
      </c>
      <c r="O98" s="34">
        <v>26</v>
      </c>
      <c r="P98" s="16" t="str">
        <f>VLOOKUP($B98,Liste!$B$2:$C$34,2,FALSE)</f>
        <v>https://www.wiwi.ruhr-uni-bochum.de/empwifo/index.html.en</v>
      </c>
      <c r="Q98" s="16" t="s">
        <v>490</v>
      </c>
      <c r="R98" s="16" t="s">
        <v>67</v>
      </c>
      <c r="S98" s="34">
        <v>10</v>
      </c>
      <c r="T98" s="16" t="s">
        <v>301</v>
      </c>
      <c r="U98" s="16" t="s">
        <v>326</v>
      </c>
    </row>
    <row r="99" spans="1:1028" ht="65" customHeight="1" x14ac:dyDescent="0.15">
      <c r="A99" s="31" t="s">
        <v>605</v>
      </c>
      <c r="B99" s="20" t="str">
        <f>VLOOKUP($E99,Liste!$A$2:$C$34,2,FALSE)</f>
        <v>Apl.-Professur für Health Economics</v>
      </c>
      <c r="C99" s="16" t="s">
        <v>287</v>
      </c>
      <c r="D99" s="16" t="s">
        <v>61</v>
      </c>
      <c r="E99" s="16" t="s">
        <v>288</v>
      </c>
      <c r="F99" s="16" t="s">
        <v>289</v>
      </c>
      <c r="G99" s="16"/>
      <c r="H99" s="16" t="s">
        <v>311</v>
      </c>
      <c r="I99" s="32"/>
      <c r="J99" s="32"/>
      <c r="K99" s="16" t="s">
        <v>472</v>
      </c>
      <c r="L99" s="16" t="s">
        <v>66</v>
      </c>
      <c r="M99" s="33" t="s">
        <v>360</v>
      </c>
      <c r="N99" s="16" t="s">
        <v>500</v>
      </c>
      <c r="O99" s="34">
        <v>19</v>
      </c>
      <c r="P99" s="20" t="str">
        <f>VLOOKUP($B99,Liste!$B$2:$C$34,2,FALSE)</f>
        <v>https://www.wiwi.ruhr-uni-bochum.de/health/index.html.de</v>
      </c>
      <c r="Q99" s="16" t="s">
        <v>486</v>
      </c>
      <c r="R99" s="16" t="s">
        <v>67</v>
      </c>
      <c r="S99" s="34">
        <v>5</v>
      </c>
      <c r="T99" s="16" t="s">
        <v>303</v>
      </c>
      <c r="U99" s="16" t="s">
        <v>326</v>
      </c>
    </row>
    <row r="100" spans="1:1028" ht="65" customHeight="1" x14ac:dyDescent="0.15">
      <c r="A100" s="23" t="s">
        <v>250</v>
      </c>
      <c r="B100" s="39" t="str">
        <f>VLOOKUP($E100,Liste!$A$2:$C$34,2,FALSE)</f>
        <v>Statistik mit Anwendungen im Bereich der Ingenieurwissenschaften</v>
      </c>
      <c r="C100" s="14" t="s">
        <v>340</v>
      </c>
      <c r="D100" s="14" t="s">
        <v>76</v>
      </c>
      <c r="E100" s="14" t="s">
        <v>246</v>
      </c>
      <c r="F100" s="14" t="s">
        <v>40</v>
      </c>
      <c r="G100" s="14" t="s">
        <v>115</v>
      </c>
      <c r="H100" s="14" t="s">
        <v>176</v>
      </c>
      <c r="I100" s="14" t="s">
        <v>186</v>
      </c>
      <c r="J100" s="14" t="s">
        <v>178</v>
      </c>
      <c r="K100" s="14" t="s">
        <v>297</v>
      </c>
      <c r="L100" s="14" t="s">
        <v>74</v>
      </c>
      <c r="M100" s="14"/>
      <c r="N100" s="63" t="s">
        <v>348</v>
      </c>
      <c r="O100" s="14" t="s">
        <v>507</v>
      </c>
      <c r="P100" s="49" t="str">
        <f>VLOOKUP($B100,Liste!$B$2:$C$34,2,FALSE)</f>
        <v>https://www.statistik.tu-dortmund.de/ingenieurswissenschaften.html</v>
      </c>
      <c r="Q100" s="49"/>
      <c r="R100" s="14" t="s">
        <v>90</v>
      </c>
      <c r="S100" s="14">
        <v>9</v>
      </c>
      <c r="T100" s="14" t="s">
        <v>302</v>
      </c>
      <c r="U100" s="14" t="s">
        <v>326</v>
      </c>
    </row>
    <row r="101" spans="1:1028" ht="65" customHeight="1" x14ac:dyDescent="0.15">
      <c r="A101" s="23" t="s">
        <v>250</v>
      </c>
      <c r="B101" s="18" t="str">
        <f>VLOOKUP($E101,Liste!$A$2:$C$34,2,FALSE)</f>
        <v>Statistik mit Anwendungen im Bereich der Ingenieurwissenschaften</v>
      </c>
      <c r="C101" s="14" t="s">
        <v>340</v>
      </c>
      <c r="D101" s="14" t="s">
        <v>70</v>
      </c>
      <c r="E101" s="14" t="s">
        <v>246</v>
      </c>
      <c r="F101" s="14" t="s">
        <v>37</v>
      </c>
      <c r="G101" s="14" t="s">
        <v>93</v>
      </c>
      <c r="H101" s="14" t="s">
        <v>176</v>
      </c>
      <c r="I101" s="14">
        <v>0.41666666666666669</v>
      </c>
      <c r="J101" s="14">
        <v>0.5</v>
      </c>
      <c r="K101" s="14" t="s">
        <v>297</v>
      </c>
      <c r="L101" s="14" t="s">
        <v>74</v>
      </c>
      <c r="M101" s="14"/>
      <c r="N101" s="63" t="s">
        <v>347</v>
      </c>
      <c r="O101" s="14" t="s">
        <v>507</v>
      </c>
      <c r="P101" s="49" t="str">
        <f>VLOOKUP($B101,Liste!$B$2:$C$34,2,FALSE)</f>
        <v>https://www.statistik.tu-dortmund.de/ingenieurswissenschaften.html</v>
      </c>
      <c r="Q101" s="49"/>
      <c r="R101" s="14" t="s">
        <v>90</v>
      </c>
      <c r="S101" s="14">
        <v>9</v>
      </c>
      <c r="T101" s="14" t="s">
        <v>302</v>
      </c>
      <c r="U101" s="14" t="s">
        <v>326</v>
      </c>
    </row>
    <row r="102" spans="1:1028" ht="65" customHeight="1" x14ac:dyDescent="0.15">
      <c r="A102" s="25" t="s">
        <v>163</v>
      </c>
      <c r="B102" s="19" t="str">
        <f>VLOOKUP($E102,Liste!$A$2:$C$34,2,FALSE)</f>
        <v>Ökonometrie</v>
      </c>
      <c r="C102" s="15" t="s">
        <v>69</v>
      </c>
      <c r="D102" s="15" t="s">
        <v>70</v>
      </c>
      <c r="E102" s="15" t="s">
        <v>71</v>
      </c>
      <c r="F102" s="15" t="s">
        <v>41</v>
      </c>
      <c r="G102" s="15"/>
      <c r="H102" s="15" t="s">
        <v>64</v>
      </c>
      <c r="I102" s="26"/>
      <c r="J102" s="26"/>
      <c r="K102" s="27" t="s">
        <v>82</v>
      </c>
      <c r="L102" s="27" t="s">
        <v>74</v>
      </c>
      <c r="M102" s="28" t="s">
        <v>393</v>
      </c>
      <c r="N102" s="15" t="s">
        <v>583</v>
      </c>
      <c r="O102" s="29">
        <v>77</v>
      </c>
      <c r="P102" s="19" t="str">
        <f>VLOOKUP($B102,Liste!$B$2:$C$34,2,FALSE)</f>
        <v>https://www.oek.wiwi.uni-due.de/</v>
      </c>
      <c r="Q102" s="15" t="s">
        <v>547</v>
      </c>
      <c r="R102" s="28" t="s">
        <v>67</v>
      </c>
      <c r="S102" s="30">
        <v>3</v>
      </c>
      <c r="T102" s="30" t="s">
        <v>302</v>
      </c>
      <c r="U102" s="30" t="s">
        <v>325</v>
      </c>
    </row>
    <row r="103" spans="1:1028" ht="65" customHeight="1" x14ac:dyDescent="0.15">
      <c r="A103" s="25" t="s">
        <v>163</v>
      </c>
      <c r="B103" s="19" t="str">
        <f>VLOOKUP($E103,Liste!$A$2:$C$34,2,FALSE)</f>
        <v>Ökonometrie</v>
      </c>
      <c r="C103" s="15" t="s">
        <v>69</v>
      </c>
      <c r="D103" s="15" t="s">
        <v>76</v>
      </c>
      <c r="E103" s="15" t="s">
        <v>71</v>
      </c>
      <c r="F103" s="15" t="s">
        <v>164</v>
      </c>
      <c r="G103" s="15"/>
      <c r="H103" s="15" t="s">
        <v>64</v>
      </c>
      <c r="I103" s="26"/>
      <c r="J103" s="26"/>
      <c r="K103" s="27" t="s">
        <v>82</v>
      </c>
      <c r="L103" s="27" t="s">
        <v>74</v>
      </c>
      <c r="M103" s="28" t="s">
        <v>394</v>
      </c>
      <c r="N103" s="15" t="s">
        <v>584</v>
      </c>
      <c r="O103" s="29">
        <v>77</v>
      </c>
      <c r="P103" s="19" t="str">
        <f>VLOOKUP($B103,Liste!$B$2:$C$34,2,FALSE)</f>
        <v>https://www.oek.wiwi.uni-due.de/</v>
      </c>
      <c r="Q103" s="15" t="s">
        <v>547</v>
      </c>
      <c r="R103" s="28" t="s">
        <v>67</v>
      </c>
      <c r="S103" s="30">
        <v>3</v>
      </c>
      <c r="T103" s="30" t="s">
        <v>302</v>
      </c>
      <c r="U103" s="30" t="s">
        <v>325</v>
      </c>
    </row>
    <row r="104" spans="1:1028" s="43" customFormat="1" ht="65" customHeight="1" x14ac:dyDescent="0.15">
      <c r="A104" s="25" t="s">
        <v>313</v>
      </c>
      <c r="B104" s="19" t="str">
        <f>VLOOKUP($E104,Liste!$A$2:$C$34,2,FALSE)</f>
        <v>Ökonometrie</v>
      </c>
      <c r="C104" s="15" t="s">
        <v>69</v>
      </c>
      <c r="D104" s="15" t="s">
        <v>70</v>
      </c>
      <c r="E104" s="15" t="s">
        <v>71</v>
      </c>
      <c r="F104" s="15" t="s">
        <v>10</v>
      </c>
      <c r="G104" s="15" t="s">
        <v>81</v>
      </c>
      <c r="H104" s="15" t="s">
        <v>64</v>
      </c>
      <c r="I104" s="26">
        <v>0.5</v>
      </c>
      <c r="J104" s="26">
        <v>0.58333333333333304</v>
      </c>
      <c r="K104" s="27" t="s">
        <v>106</v>
      </c>
      <c r="L104" s="27" t="s">
        <v>66</v>
      </c>
      <c r="M104" s="28"/>
      <c r="N104" s="27" t="s">
        <v>107</v>
      </c>
      <c r="O104" s="29">
        <v>77</v>
      </c>
      <c r="P104" s="27" t="str">
        <f>VLOOKUP($B104,Liste!$B$2:$C$34,2,FALSE)</f>
        <v>https://www.oek.wiwi.uni-due.de/</v>
      </c>
      <c r="Q104" s="27" t="s">
        <v>75</v>
      </c>
      <c r="R104" s="28" t="s">
        <v>67</v>
      </c>
      <c r="S104" s="30">
        <v>3</v>
      </c>
      <c r="T104" s="30" t="s">
        <v>302</v>
      </c>
      <c r="U104" s="30" t="s">
        <v>326</v>
      </c>
      <c r="V104" s="42"/>
      <c r="W104" s="42"/>
      <c r="X104" s="42"/>
      <c r="Y104" s="42"/>
      <c r="Z104" s="42"/>
      <c r="AA104" s="42"/>
      <c r="AB104" s="42"/>
      <c r="AC104" s="42"/>
      <c r="AD104" s="42"/>
      <c r="AE104" s="42"/>
      <c r="AF104" s="42"/>
      <c r="AG104" s="42"/>
      <c r="AH104" s="42"/>
      <c r="AI104" s="42"/>
      <c r="AJ104" s="42"/>
      <c r="AK104" s="42"/>
      <c r="AL104" s="42"/>
      <c r="AM104" s="42"/>
      <c r="AN104" s="42"/>
      <c r="AO104" s="42"/>
      <c r="AP104" s="42"/>
      <c r="AQ104" s="42"/>
      <c r="AR104" s="42"/>
      <c r="AS104" s="42"/>
      <c r="AT104" s="42"/>
      <c r="AU104" s="42"/>
      <c r="AV104" s="42"/>
      <c r="AW104" s="42"/>
      <c r="AX104" s="42"/>
      <c r="AY104" s="42"/>
      <c r="AZ104" s="42"/>
      <c r="BA104" s="42"/>
      <c r="BB104" s="42"/>
      <c r="BC104" s="42"/>
      <c r="BD104" s="42"/>
      <c r="BE104" s="42"/>
      <c r="BF104" s="42"/>
      <c r="BG104" s="42"/>
      <c r="BH104" s="42"/>
      <c r="BI104" s="42"/>
      <c r="BJ104" s="42"/>
      <c r="BK104" s="42"/>
      <c r="BL104" s="42"/>
      <c r="BM104" s="42"/>
      <c r="BN104" s="42"/>
      <c r="BO104" s="42"/>
      <c r="BP104" s="42"/>
      <c r="BQ104" s="42"/>
      <c r="BR104" s="42"/>
      <c r="BS104" s="42"/>
      <c r="BT104" s="42"/>
      <c r="BU104" s="42"/>
      <c r="BV104" s="42"/>
      <c r="BW104" s="42"/>
      <c r="BX104" s="42"/>
      <c r="BY104" s="42"/>
      <c r="BZ104" s="42"/>
      <c r="CA104" s="42"/>
      <c r="CB104" s="42"/>
      <c r="CC104" s="42"/>
      <c r="CD104" s="42"/>
      <c r="CE104" s="42"/>
      <c r="CF104" s="42"/>
      <c r="CG104" s="42"/>
      <c r="CH104" s="42"/>
      <c r="CI104" s="42"/>
      <c r="CJ104" s="42"/>
      <c r="CK104" s="42"/>
      <c r="CL104" s="42"/>
      <c r="CM104" s="42"/>
      <c r="CN104" s="42"/>
      <c r="CO104" s="42"/>
      <c r="CP104" s="42"/>
      <c r="CQ104" s="42"/>
      <c r="CR104" s="42"/>
      <c r="CS104" s="42"/>
      <c r="CT104" s="42"/>
      <c r="CU104" s="42"/>
      <c r="CV104" s="42"/>
      <c r="CW104" s="42"/>
      <c r="CX104" s="42"/>
      <c r="CY104" s="42"/>
      <c r="CZ104" s="42"/>
      <c r="DA104" s="42"/>
      <c r="DB104" s="42"/>
      <c r="DC104" s="42"/>
      <c r="DD104" s="42"/>
      <c r="DE104" s="42"/>
      <c r="DF104" s="42"/>
      <c r="DG104" s="42"/>
      <c r="DH104" s="42"/>
      <c r="DI104" s="42"/>
      <c r="DJ104" s="42"/>
      <c r="DK104" s="42"/>
      <c r="DL104" s="42"/>
      <c r="DM104" s="42"/>
      <c r="DN104" s="42"/>
      <c r="DO104" s="42"/>
      <c r="DP104" s="42"/>
      <c r="DQ104" s="42"/>
      <c r="DR104" s="42"/>
      <c r="DS104" s="42"/>
      <c r="DT104" s="42"/>
      <c r="DU104" s="42"/>
      <c r="DV104" s="42"/>
      <c r="DW104" s="42"/>
      <c r="DX104" s="42"/>
      <c r="DY104" s="42"/>
      <c r="DZ104" s="42"/>
      <c r="EA104" s="42"/>
      <c r="EB104" s="42"/>
      <c r="EC104" s="42"/>
      <c r="ED104" s="42"/>
      <c r="EE104" s="42"/>
      <c r="EF104" s="42"/>
      <c r="EG104" s="42"/>
      <c r="EH104" s="42"/>
      <c r="EI104" s="42"/>
      <c r="EJ104" s="42"/>
      <c r="EK104" s="42"/>
      <c r="EL104" s="42"/>
      <c r="EM104" s="42"/>
      <c r="EN104" s="42"/>
      <c r="EO104" s="42"/>
      <c r="EP104" s="42"/>
      <c r="EQ104" s="42"/>
      <c r="ER104" s="42"/>
      <c r="ES104" s="42"/>
      <c r="ET104" s="42"/>
      <c r="EU104" s="42"/>
      <c r="EV104" s="42"/>
      <c r="EW104" s="42"/>
      <c r="EX104" s="42"/>
      <c r="EY104" s="42"/>
      <c r="EZ104" s="42"/>
      <c r="FA104" s="42"/>
      <c r="FB104" s="42"/>
      <c r="FC104" s="42"/>
      <c r="FD104" s="42"/>
      <c r="FE104" s="42"/>
      <c r="FF104" s="42"/>
      <c r="FG104" s="42"/>
      <c r="FH104" s="42"/>
      <c r="FI104" s="42"/>
      <c r="FJ104" s="42"/>
      <c r="FK104" s="42"/>
      <c r="FL104" s="42"/>
      <c r="FM104" s="42"/>
      <c r="FN104" s="42"/>
      <c r="FO104" s="42"/>
      <c r="FP104" s="42"/>
      <c r="FQ104" s="42"/>
      <c r="FR104" s="42"/>
      <c r="FS104" s="42"/>
      <c r="FT104" s="42"/>
      <c r="FU104" s="42"/>
      <c r="FV104" s="42"/>
      <c r="FW104" s="42"/>
      <c r="FX104" s="42"/>
      <c r="FY104" s="42"/>
      <c r="FZ104" s="42"/>
      <c r="GA104" s="42"/>
      <c r="GB104" s="42"/>
      <c r="GC104" s="42"/>
      <c r="GD104" s="42"/>
      <c r="GE104" s="42"/>
      <c r="GF104" s="42"/>
      <c r="GG104" s="42"/>
      <c r="GH104" s="42"/>
      <c r="GI104" s="42"/>
      <c r="GJ104" s="42"/>
      <c r="GK104" s="42"/>
      <c r="GL104" s="42"/>
      <c r="GM104" s="42"/>
      <c r="GN104" s="42"/>
      <c r="GO104" s="42"/>
      <c r="GP104" s="42"/>
      <c r="GQ104" s="42"/>
      <c r="GR104" s="42"/>
      <c r="GS104" s="42"/>
      <c r="GT104" s="42"/>
      <c r="GU104" s="42"/>
      <c r="GV104" s="42"/>
      <c r="GW104" s="42"/>
      <c r="GX104" s="42"/>
      <c r="GY104" s="42"/>
      <c r="GZ104" s="42"/>
      <c r="HA104" s="42"/>
      <c r="HB104" s="42"/>
      <c r="HC104" s="42"/>
      <c r="HD104" s="42"/>
      <c r="HE104" s="42"/>
      <c r="HF104" s="42"/>
      <c r="HG104" s="42"/>
      <c r="HH104" s="42"/>
      <c r="HI104" s="42"/>
      <c r="HJ104" s="42"/>
      <c r="HK104" s="42"/>
      <c r="HL104" s="42"/>
      <c r="HM104" s="42"/>
      <c r="HN104" s="42"/>
      <c r="HO104" s="42"/>
      <c r="HP104" s="42"/>
      <c r="HQ104" s="42"/>
      <c r="HR104" s="42"/>
      <c r="HS104" s="42"/>
      <c r="HT104" s="42"/>
      <c r="HU104" s="42"/>
      <c r="HV104" s="42"/>
      <c r="HW104" s="42"/>
      <c r="HX104" s="42"/>
      <c r="HY104" s="42"/>
      <c r="HZ104" s="42"/>
      <c r="IA104" s="42"/>
      <c r="IB104" s="42"/>
      <c r="IC104" s="42"/>
      <c r="ID104" s="42"/>
      <c r="IE104" s="42"/>
      <c r="IF104" s="42"/>
      <c r="IG104" s="42"/>
      <c r="IH104" s="42"/>
      <c r="II104" s="42"/>
      <c r="IJ104" s="42"/>
      <c r="IK104" s="42"/>
      <c r="IL104" s="42"/>
      <c r="IM104" s="42"/>
      <c r="IN104" s="42"/>
      <c r="IO104" s="42"/>
      <c r="IP104" s="42"/>
      <c r="IQ104" s="42"/>
      <c r="IR104" s="42"/>
      <c r="IS104" s="42"/>
      <c r="IT104" s="42"/>
      <c r="IU104" s="42"/>
      <c r="IV104" s="42"/>
      <c r="IW104" s="42"/>
      <c r="IX104" s="42"/>
      <c r="IY104" s="42"/>
      <c r="IZ104" s="42"/>
      <c r="JA104" s="42"/>
      <c r="JB104" s="42"/>
      <c r="JC104" s="42"/>
      <c r="JD104" s="42"/>
      <c r="JE104" s="42"/>
      <c r="JF104" s="42"/>
      <c r="JG104" s="42"/>
      <c r="JH104" s="42"/>
      <c r="JI104" s="42"/>
      <c r="JJ104" s="42"/>
      <c r="JK104" s="42"/>
      <c r="JL104" s="42"/>
      <c r="JM104" s="42"/>
      <c r="JN104" s="42"/>
      <c r="JO104" s="42"/>
      <c r="JP104" s="42"/>
      <c r="JQ104" s="42"/>
      <c r="JR104" s="42"/>
      <c r="JS104" s="42"/>
      <c r="JT104" s="42"/>
      <c r="JU104" s="42"/>
      <c r="JV104" s="42"/>
      <c r="JW104" s="42"/>
      <c r="JX104" s="42"/>
      <c r="JY104" s="42"/>
      <c r="JZ104" s="42"/>
      <c r="KA104" s="42"/>
      <c r="KB104" s="42"/>
      <c r="KC104" s="42"/>
      <c r="KD104" s="42"/>
      <c r="KE104" s="42"/>
      <c r="KF104" s="42"/>
      <c r="KG104" s="42"/>
      <c r="KH104" s="42"/>
      <c r="KI104" s="42"/>
      <c r="KJ104" s="42"/>
      <c r="KK104" s="42"/>
      <c r="KL104" s="42"/>
      <c r="KM104" s="42"/>
      <c r="KN104" s="42"/>
      <c r="KO104" s="42"/>
      <c r="KP104" s="42"/>
      <c r="KQ104" s="42"/>
      <c r="KR104" s="42"/>
      <c r="KS104" s="42"/>
      <c r="KT104" s="42"/>
      <c r="KU104" s="42"/>
      <c r="KV104" s="42"/>
      <c r="KW104" s="42"/>
      <c r="KX104" s="42"/>
      <c r="KY104" s="42"/>
      <c r="KZ104" s="42"/>
      <c r="LA104" s="42"/>
      <c r="LB104" s="42"/>
      <c r="LC104" s="42"/>
      <c r="LD104" s="42"/>
      <c r="LE104" s="42"/>
      <c r="LF104" s="42"/>
      <c r="LG104" s="42"/>
      <c r="LH104" s="42"/>
      <c r="LI104" s="42"/>
      <c r="LJ104" s="42"/>
      <c r="LK104" s="42"/>
      <c r="LL104" s="42"/>
      <c r="LM104" s="42"/>
      <c r="LN104" s="42"/>
      <c r="LO104" s="42"/>
      <c r="LP104" s="42"/>
      <c r="LQ104" s="42"/>
      <c r="LR104" s="42"/>
      <c r="LS104" s="42"/>
      <c r="LT104" s="42"/>
      <c r="LU104" s="42"/>
      <c r="LV104" s="42"/>
      <c r="LW104" s="42"/>
      <c r="LX104" s="42"/>
      <c r="LY104" s="42"/>
      <c r="LZ104" s="42"/>
      <c r="MA104" s="42"/>
      <c r="MB104" s="42"/>
      <c r="MC104" s="42"/>
      <c r="MD104" s="42"/>
      <c r="ME104" s="42"/>
      <c r="MF104" s="42"/>
      <c r="MG104" s="42"/>
      <c r="MH104" s="42"/>
      <c r="MI104" s="42"/>
      <c r="MJ104" s="42"/>
      <c r="MK104" s="42"/>
      <c r="ML104" s="42"/>
      <c r="MM104" s="42"/>
      <c r="MN104" s="42"/>
      <c r="MO104" s="42"/>
      <c r="MP104" s="42"/>
      <c r="MQ104" s="42"/>
      <c r="MR104" s="42"/>
      <c r="MS104" s="42"/>
      <c r="MT104" s="42"/>
      <c r="MU104" s="42"/>
      <c r="MV104" s="42"/>
      <c r="MW104" s="42"/>
      <c r="MX104" s="42"/>
      <c r="MY104" s="42"/>
      <c r="MZ104" s="42"/>
      <c r="NA104" s="42"/>
      <c r="NB104" s="42"/>
      <c r="NC104" s="42"/>
      <c r="ND104" s="42"/>
      <c r="NE104" s="42"/>
      <c r="NF104" s="42"/>
      <c r="NG104" s="42"/>
      <c r="NH104" s="42"/>
      <c r="NI104" s="42"/>
      <c r="NJ104" s="42"/>
      <c r="NK104" s="42"/>
      <c r="NL104" s="42"/>
      <c r="NM104" s="42"/>
      <c r="NN104" s="42"/>
      <c r="NO104" s="42"/>
      <c r="NP104" s="42"/>
      <c r="NQ104" s="42"/>
      <c r="NR104" s="42"/>
      <c r="NS104" s="42"/>
      <c r="NT104" s="42"/>
      <c r="NU104" s="42"/>
      <c r="NV104" s="42"/>
      <c r="NW104" s="42"/>
      <c r="NX104" s="42"/>
      <c r="NY104" s="42"/>
      <c r="NZ104" s="42"/>
      <c r="OA104" s="42"/>
      <c r="OB104" s="42"/>
      <c r="OC104" s="42"/>
      <c r="OD104" s="42"/>
      <c r="OE104" s="42"/>
      <c r="OF104" s="42"/>
      <c r="OG104" s="42"/>
      <c r="OH104" s="42"/>
      <c r="OI104" s="42"/>
      <c r="OJ104" s="42"/>
      <c r="OK104" s="42"/>
      <c r="OL104" s="42"/>
      <c r="OM104" s="42"/>
      <c r="ON104" s="42"/>
      <c r="OO104" s="42"/>
      <c r="OP104" s="42"/>
      <c r="OQ104" s="42"/>
      <c r="OR104" s="42"/>
      <c r="OS104" s="42"/>
      <c r="OT104" s="42"/>
      <c r="OU104" s="42"/>
      <c r="OV104" s="42"/>
      <c r="OW104" s="42"/>
      <c r="OX104" s="42"/>
      <c r="OY104" s="42"/>
      <c r="OZ104" s="42"/>
      <c r="PA104" s="42"/>
      <c r="PB104" s="42"/>
      <c r="PC104" s="42"/>
      <c r="PD104" s="42"/>
      <c r="PE104" s="42"/>
      <c r="PF104" s="42"/>
      <c r="PG104" s="42"/>
      <c r="PH104" s="42"/>
      <c r="PI104" s="42"/>
      <c r="PJ104" s="42"/>
      <c r="PK104" s="42"/>
      <c r="PL104" s="42"/>
      <c r="PM104" s="42"/>
      <c r="PN104" s="42"/>
      <c r="PO104" s="42"/>
      <c r="PP104" s="42"/>
      <c r="PQ104" s="42"/>
      <c r="PR104" s="42"/>
      <c r="PS104" s="42"/>
      <c r="PT104" s="42"/>
      <c r="PU104" s="42"/>
      <c r="PV104" s="42"/>
      <c r="PW104" s="42"/>
      <c r="PX104" s="42"/>
      <c r="PY104" s="42"/>
      <c r="PZ104" s="42"/>
      <c r="QA104" s="42"/>
      <c r="QB104" s="42"/>
      <c r="QC104" s="42"/>
      <c r="QD104" s="42"/>
      <c r="QE104" s="42"/>
      <c r="QF104" s="42"/>
      <c r="QG104" s="42"/>
      <c r="QH104" s="42"/>
      <c r="QI104" s="42"/>
      <c r="QJ104" s="42"/>
      <c r="QK104" s="42"/>
      <c r="QL104" s="42"/>
      <c r="QM104" s="42"/>
      <c r="QN104" s="42"/>
      <c r="QO104" s="42"/>
      <c r="QP104" s="42"/>
      <c r="QQ104" s="42"/>
      <c r="QR104" s="42"/>
      <c r="QS104" s="42"/>
      <c r="QT104" s="42"/>
      <c r="QU104" s="42"/>
      <c r="QV104" s="42"/>
      <c r="QW104" s="42"/>
      <c r="QX104" s="42"/>
      <c r="QY104" s="42"/>
      <c r="QZ104" s="42"/>
      <c r="RA104" s="42"/>
      <c r="RB104" s="42"/>
      <c r="RC104" s="42"/>
      <c r="RD104" s="42"/>
      <c r="RE104" s="42"/>
      <c r="RF104" s="42"/>
      <c r="RG104" s="42"/>
      <c r="RH104" s="42"/>
      <c r="RI104" s="42"/>
      <c r="RJ104" s="42"/>
      <c r="RK104" s="42"/>
      <c r="RL104" s="42"/>
      <c r="RM104" s="42"/>
      <c r="RN104" s="42"/>
      <c r="RO104" s="42"/>
      <c r="RP104" s="42"/>
      <c r="RQ104" s="42"/>
      <c r="RR104" s="42"/>
      <c r="RS104" s="42"/>
      <c r="RT104" s="42"/>
      <c r="RU104" s="42"/>
      <c r="RV104" s="42"/>
      <c r="RW104" s="42"/>
      <c r="RX104" s="42"/>
      <c r="RY104" s="42"/>
      <c r="RZ104" s="42"/>
      <c r="SA104" s="42"/>
      <c r="SB104" s="42"/>
      <c r="SC104" s="42"/>
      <c r="SD104" s="42"/>
      <c r="SE104" s="42"/>
      <c r="SF104" s="42"/>
      <c r="SG104" s="42"/>
      <c r="SH104" s="42"/>
      <c r="SI104" s="42"/>
      <c r="SJ104" s="42"/>
      <c r="SK104" s="42"/>
      <c r="SL104" s="42"/>
      <c r="SM104" s="42"/>
      <c r="SN104" s="42"/>
      <c r="SO104" s="42"/>
      <c r="SP104" s="42"/>
      <c r="SQ104" s="42"/>
      <c r="SR104" s="42"/>
      <c r="SS104" s="42"/>
      <c r="ST104" s="42"/>
      <c r="SU104" s="42"/>
      <c r="SV104" s="42"/>
      <c r="SW104" s="42"/>
      <c r="SX104" s="42"/>
      <c r="SY104" s="42"/>
      <c r="SZ104" s="42"/>
      <c r="TA104" s="42"/>
      <c r="TB104" s="42"/>
      <c r="TC104" s="42"/>
      <c r="TD104" s="42"/>
      <c r="TE104" s="42"/>
      <c r="TF104" s="42"/>
      <c r="TG104" s="42"/>
      <c r="TH104" s="42"/>
      <c r="TI104" s="42"/>
      <c r="TJ104" s="42"/>
      <c r="TK104" s="42"/>
      <c r="TL104" s="42"/>
      <c r="TM104" s="42"/>
      <c r="TN104" s="42"/>
      <c r="TO104" s="42"/>
      <c r="TP104" s="42"/>
      <c r="TQ104" s="42"/>
      <c r="TR104" s="42"/>
      <c r="TS104" s="42"/>
      <c r="TT104" s="42"/>
      <c r="TU104" s="42"/>
      <c r="TV104" s="42"/>
      <c r="TW104" s="42"/>
      <c r="TX104" s="42"/>
      <c r="TY104" s="42"/>
      <c r="TZ104" s="42"/>
      <c r="UA104" s="42"/>
      <c r="UB104" s="42"/>
      <c r="UC104" s="42"/>
      <c r="UD104" s="42"/>
      <c r="UE104" s="42"/>
      <c r="UF104" s="42"/>
      <c r="UG104" s="42"/>
      <c r="UH104" s="42"/>
      <c r="UI104" s="42"/>
      <c r="UJ104" s="42"/>
      <c r="UK104" s="42"/>
      <c r="UL104" s="42"/>
      <c r="UM104" s="42"/>
      <c r="UN104" s="42"/>
      <c r="UO104" s="42"/>
      <c r="UP104" s="42"/>
      <c r="UQ104" s="42"/>
      <c r="UR104" s="42"/>
      <c r="US104" s="42"/>
      <c r="UT104" s="42"/>
      <c r="UU104" s="42"/>
      <c r="UV104" s="42"/>
      <c r="UW104" s="42"/>
      <c r="UX104" s="42"/>
      <c r="UY104" s="42"/>
      <c r="UZ104" s="42"/>
      <c r="VA104" s="42"/>
      <c r="VB104" s="42"/>
      <c r="VC104" s="42"/>
      <c r="VD104" s="42"/>
      <c r="VE104" s="42"/>
      <c r="VF104" s="42"/>
      <c r="VG104" s="42"/>
      <c r="VH104" s="42"/>
      <c r="VI104" s="42"/>
      <c r="VJ104" s="42"/>
      <c r="VK104" s="42"/>
      <c r="VL104" s="42"/>
      <c r="VM104" s="42"/>
      <c r="VN104" s="42"/>
      <c r="VO104" s="42"/>
      <c r="VP104" s="42"/>
      <c r="VQ104" s="42"/>
      <c r="VR104" s="42"/>
      <c r="VS104" s="42"/>
      <c r="VT104" s="42"/>
      <c r="VU104" s="42"/>
      <c r="VV104" s="42"/>
      <c r="VW104" s="42"/>
      <c r="VX104" s="42"/>
      <c r="VY104" s="42"/>
      <c r="VZ104" s="42"/>
      <c r="WA104" s="42"/>
      <c r="WB104" s="42"/>
      <c r="WC104" s="42"/>
      <c r="WD104" s="42"/>
      <c r="WE104" s="42"/>
      <c r="WF104" s="42"/>
      <c r="WG104" s="42"/>
      <c r="WH104" s="42"/>
      <c r="WI104" s="42"/>
      <c r="WJ104" s="42"/>
      <c r="WK104" s="42"/>
      <c r="WL104" s="42"/>
      <c r="WM104" s="42"/>
      <c r="WN104" s="42"/>
      <c r="WO104" s="42"/>
      <c r="WP104" s="42"/>
      <c r="WQ104" s="42"/>
      <c r="WR104" s="42"/>
      <c r="WS104" s="42"/>
      <c r="WT104" s="42"/>
      <c r="WU104" s="42"/>
      <c r="WV104" s="42"/>
      <c r="WW104" s="42"/>
      <c r="WX104" s="42"/>
      <c r="WY104" s="42"/>
      <c r="WZ104" s="42"/>
      <c r="XA104" s="42"/>
      <c r="XB104" s="42"/>
      <c r="XC104" s="42"/>
      <c r="XD104" s="42"/>
      <c r="XE104" s="42"/>
      <c r="XF104" s="42"/>
      <c r="XG104" s="42"/>
      <c r="XH104" s="42"/>
      <c r="XI104" s="42"/>
      <c r="XJ104" s="42"/>
      <c r="XK104" s="42"/>
      <c r="XL104" s="42"/>
      <c r="XM104" s="42"/>
      <c r="XN104" s="42"/>
      <c r="XO104" s="42"/>
      <c r="XP104" s="42"/>
      <c r="XQ104" s="42"/>
      <c r="XR104" s="42"/>
      <c r="XS104" s="42"/>
      <c r="XT104" s="42"/>
      <c r="XU104" s="42"/>
      <c r="XV104" s="42"/>
      <c r="XW104" s="42"/>
      <c r="XX104" s="42"/>
      <c r="XY104" s="42"/>
      <c r="XZ104" s="42"/>
      <c r="YA104" s="42"/>
      <c r="YB104" s="42"/>
      <c r="YC104" s="42"/>
      <c r="YD104" s="42"/>
      <c r="YE104" s="42"/>
      <c r="YF104" s="42"/>
      <c r="YG104" s="42"/>
      <c r="YH104" s="42"/>
      <c r="YI104" s="42"/>
      <c r="YJ104" s="42"/>
      <c r="YK104" s="42"/>
      <c r="YL104" s="42"/>
      <c r="YM104" s="42"/>
      <c r="YN104" s="42"/>
      <c r="YO104" s="42"/>
      <c r="YP104" s="42"/>
      <c r="YQ104" s="42"/>
      <c r="YR104" s="42"/>
      <c r="YS104" s="42"/>
      <c r="YT104" s="42"/>
      <c r="YU104" s="42"/>
      <c r="YV104" s="42"/>
      <c r="YW104" s="42"/>
      <c r="YX104" s="42"/>
      <c r="YY104" s="42"/>
      <c r="YZ104" s="42"/>
      <c r="ZA104" s="42"/>
      <c r="ZB104" s="42"/>
      <c r="ZC104" s="42"/>
      <c r="ZD104" s="42"/>
      <c r="ZE104" s="42"/>
      <c r="ZF104" s="42"/>
      <c r="ZG104" s="42"/>
      <c r="ZH104" s="42"/>
      <c r="ZI104" s="42"/>
      <c r="ZJ104" s="42"/>
      <c r="ZK104" s="42"/>
      <c r="ZL104" s="42"/>
      <c r="ZM104" s="42"/>
      <c r="ZN104" s="42"/>
      <c r="ZO104" s="42"/>
      <c r="ZP104" s="42"/>
      <c r="ZQ104" s="42"/>
      <c r="ZR104" s="42"/>
      <c r="ZS104" s="42"/>
      <c r="ZT104" s="42"/>
      <c r="ZU104" s="42"/>
      <c r="ZV104" s="42"/>
      <c r="ZW104" s="42"/>
      <c r="ZX104" s="42"/>
      <c r="ZY104" s="42"/>
      <c r="ZZ104" s="42"/>
      <c r="AAA104" s="42"/>
      <c r="AAB104" s="42"/>
      <c r="AAC104" s="42"/>
      <c r="AAD104" s="42"/>
      <c r="AAE104" s="42"/>
      <c r="AAF104" s="42"/>
      <c r="AAG104" s="42"/>
      <c r="AAH104" s="42"/>
      <c r="AAI104" s="42"/>
      <c r="AAJ104" s="42"/>
      <c r="AAK104" s="42"/>
      <c r="AAL104" s="42"/>
      <c r="AAM104" s="42"/>
      <c r="AAN104" s="42"/>
      <c r="AAO104" s="42"/>
      <c r="AAP104" s="42"/>
      <c r="AAQ104" s="42"/>
      <c r="AAR104" s="42"/>
      <c r="AAS104" s="42"/>
      <c r="AAT104" s="42"/>
      <c r="AAU104" s="42"/>
      <c r="AAV104" s="42"/>
      <c r="AAW104" s="42"/>
      <c r="AAX104" s="42"/>
      <c r="AAY104" s="42"/>
      <c r="AAZ104" s="42"/>
      <c r="ABA104" s="42"/>
      <c r="ABB104" s="42"/>
      <c r="ABC104" s="42"/>
      <c r="ABD104" s="42"/>
      <c r="ABE104" s="42"/>
      <c r="ABF104" s="42"/>
      <c r="ABG104" s="42"/>
      <c r="ABH104" s="42"/>
      <c r="ABI104" s="42"/>
      <c r="ABJ104" s="42"/>
      <c r="ABK104" s="42"/>
      <c r="ABL104" s="42"/>
      <c r="ABM104" s="42"/>
      <c r="ABN104" s="42"/>
      <c r="ABO104" s="42"/>
      <c r="ABP104" s="42"/>
      <c r="ABQ104" s="42"/>
      <c r="ABR104" s="42"/>
      <c r="ABS104" s="42"/>
      <c r="ABT104" s="42"/>
      <c r="ABU104" s="42"/>
      <c r="ABV104" s="42"/>
      <c r="ABW104" s="42"/>
      <c r="ABX104" s="42"/>
      <c r="ABY104" s="42"/>
      <c r="ABZ104" s="42"/>
      <c r="ACA104" s="42"/>
      <c r="ACB104" s="42"/>
      <c r="ACC104" s="42"/>
      <c r="ACD104" s="42"/>
      <c r="ACE104" s="42"/>
      <c r="ACF104" s="42"/>
      <c r="ACG104" s="42"/>
      <c r="ACH104" s="42"/>
      <c r="ACI104" s="42"/>
      <c r="ACJ104" s="42"/>
      <c r="ACK104" s="42"/>
      <c r="ACL104" s="42"/>
      <c r="ACM104" s="42"/>
      <c r="ACN104" s="42"/>
      <c r="ACO104" s="42"/>
      <c r="ACP104" s="42"/>
      <c r="ACQ104" s="42"/>
      <c r="ACR104" s="42"/>
      <c r="ACS104" s="42"/>
      <c r="ACT104" s="42"/>
      <c r="ACU104" s="42"/>
      <c r="ACV104" s="42"/>
      <c r="ACW104" s="42"/>
      <c r="ACX104" s="42"/>
      <c r="ACY104" s="42"/>
      <c r="ACZ104" s="42"/>
      <c r="ADA104" s="42"/>
      <c r="ADB104" s="42"/>
      <c r="ADC104" s="42"/>
      <c r="ADD104" s="42"/>
      <c r="ADE104" s="42"/>
      <c r="ADF104" s="42"/>
      <c r="ADG104" s="42"/>
      <c r="ADH104" s="42"/>
      <c r="ADI104" s="42"/>
      <c r="ADJ104" s="42"/>
      <c r="ADK104" s="42"/>
      <c r="ADL104" s="42"/>
      <c r="ADM104" s="42"/>
      <c r="ADN104" s="42"/>
      <c r="ADO104" s="42"/>
      <c r="ADP104" s="42"/>
      <c r="ADQ104" s="42"/>
      <c r="ADR104" s="42"/>
      <c r="ADS104" s="42"/>
      <c r="ADT104" s="42"/>
      <c r="ADU104" s="42"/>
      <c r="ADV104" s="42"/>
      <c r="ADW104" s="42"/>
      <c r="ADX104" s="42"/>
      <c r="ADY104" s="42"/>
      <c r="ADZ104" s="42"/>
      <c r="AEA104" s="42"/>
      <c r="AEB104" s="42"/>
      <c r="AEC104" s="42"/>
      <c r="AED104" s="42"/>
      <c r="AEE104" s="42"/>
      <c r="AEF104" s="42"/>
      <c r="AEG104" s="42"/>
      <c r="AEH104" s="42"/>
      <c r="AEI104" s="42"/>
      <c r="AEJ104" s="42"/>
      <c r="AEK104" s="42"/>
      <c r="AEL104" s="42"/>
      <c r="AEM104" s="42"/>
      <c r="AEN104" s="42"/>
      <c r="AEO104" s="42"/>
      <c r="AEP104" s="42"/>
      <c r="AEQ104" s="42"/>
      <c r="AER104" s="42"/>
      <c r="AES104" s="42"/>
      <c r="AET104" s="42"/>
      <c r="AEU104" s="42"/>
      <c r="AEV104" s="42"/>
      <c r="AEW104" s="42"/>
      <c r="AEX104" s="42"/>
      <c r="AEY104" s="42"/>
      <c r="AEZ104" s="42"/>
      <c r="AFA104" s="42"/>
      <c r="AFB104" s="42"/>
      <c r="AFC104" s="42"/>
      <c r="AFD104" s="42"/>
      <c r="AFE104" s="42"/>
      <c r="AFF104" s="42"/>
      <c r="AFG104" s="42"/>
      <c r="AFH104" s="42"/>
      <c r="AFI104" s="42"/>
      <c r="AFJ104" s="42"/>
      <c r="AFK104" s="42"/>
      <c r="AFL104" s="42"/>
      <c r="AFM104" s="42"/>
      <c r="AFN104" s="42"/>
      <c r="AFO104" s="42"/>
      <c r="AFP104" s="42"/>
      <c r="AFQ104" s="42"/>
      <c r="AFR104" s="42"/>
      <c r="AFS104" s="42"/>
      <c r="AFT104" s="42"/>
      <c r="AFU104" s="42"/>
      <c r="AFV104" s="42"/>
      <c r="AFW104" s="42"/>
      <c r="AFX104" s="42"/>
      <c r="AFY104" s="42"/>
      <c r="AFZ104" s="42"/>
      <c r="AGA104" s="42"/>
      <c r="AGB104" s="42"/>
      <c r="AGC104" s="42"/>
      <c r="AGD104" s="42"/>
      <c r="AGE104" s="42"/>
      <c r="AGF104" s="42"/>
      <c r="AGG104" s="42"/>
      <c r="AGH104" s="42"/>
      <c r="AGI104" s="42"/>
      <c r="AGJ104" s="42"/>
      <c r="AGK104" s="42"/>
      <c r="AGL104" s="42"/>
      <c r="AGM104" s="42"/>
      <c r="AGN104" s="42"/>
      <c r="AGO104" s="42"/>
      <c r="AGP104" s="42"/>
      <c r="AGQ104" s="42"/>
      <c r="AGR104" s="42"/>
      <c r="AGS104" s="42"/>
      <c r="AGT104" s="42"/>
      <c r="AGU104" s="42"/>
      <c r="AGV104" s="42"/>
      <c r="AGW104" s="42"/>
      <c r="AGX104" s="42"/>
      <c r="AGY104" s="42"/>
      <c r="AGZ104" s="42"/>
      <c r="AHA104" s="42"/>
      <c r="AHB104" s="42"/>
      <c r="AHC104" s="42"/>
      <c r="AHD104" s="42"/>
      <c r="AHE104" s="42"/>
      <c r="AHF104" s="42"/>
      <c r="AHG104" s="42"/>
      <c r="AHH104" s="42"/>
      <c r="AHI104" s="42"/>
      <c r="AHJ104" s="42"/>
      <c r="AHK104" s="42"/>
      <c r="AHL104" s="42"/>
      <c r="AHM104" s="42"/>
      <c r="AHN104" s="42"/>
      <c r="AHO104" s="42"/>
      <c r="AHP104" s="42"/>
      <c r="AHQ104" s="42"/>
      <c r="AHR104" s="42"/>
      <c r="AHS104" s="42"/>
      <c r="AHT104" s="42"/>
      <c r="AHU104" s="42"/>
      <c r="AHV104" s="42"/>
      <c r="AHW104" s="42"/>
      <c r="AHX104" s="42"/>
      <c r="AHY104" s="42"/>
      <c r="AHZ104" s="42"/>
      <c r="AIA104" s="42"/>
      <c r="AIB104" s="42"/>
      <c r="AIC104" s="42"/>
      <c r="AID104" s="42"/>
      <c r="AIE104" s="42"/>
      <c r="AIF104" s="42"/>
      <c r="AIG104" s="42"/>
      <c r="AIH104" s="42"/>
      <c r="AII104" s="42"/>
      <c r="AIJ104" s="42"/>
      <c r="AIK104" s="42"/>
      <c r="AIL104" s="42"/>
      <c r="AIM104" s="42"/>
      <c r="AIN104" s="42"/>
      <c r="AIO104" s="42"/>
      <c r="AIP104" s="42"/>
      <c r="AIQ104" s="42"/>
      <c r="AIR104" s="42"/>
      <c r="AIS104" s="42"/>
      <c r="AIT104" s="42"/>
      <c r="AIU104" s="42"/>
      <c r="AIV104" s="42"/>
      <c r="AIW104" s="42"/>
      <c r="AIX104" s="42"/>
      <c r="AIY104" s="42"/>
      <c r="AIZ104" s="42"/>
      <c r="AJA104" s="42"/>
      <c r="AJB104" s="42"/>
      <c r="AJC104" s="42"/>
      <c r="AJD104" s="42"/>
      <c r="AJE104" s="42"/>
      <c r="AJF104" s="42"/>
      <c r="AJG104" s="42"/>
      <c r="AJH104" s="42"/>
      <c r="AJI104" s="42"/>
      <c r="AJJ104" s="42"/>
      <c r="AJK104" s="42"/>
      <c r="AJL104" s="42"/>
      <c r="AJM104" s="42"/>
      <c r="AJN104" s="42"/>
      <c r="AJO104" s="42"/>
      <c r="AJP104" s="42"/>
      <c r="AJQ104" s="42"/>
      <c r="AJR104" s="42"/>
      <c r="AJS104" s="42"/>
      <c r="AJT104" s="42"/>
      <c r="AJU104" s="42"/>
      <c r="AJV104" s="42"/>
      <c r="AJW104" s="42"/>
      <c r="AJX104" s="42"/>
      <c r="AJY104" s="42"/>
      <c r="AJZ104" s="42"/>
      <c r="AKA104" s="42"/>
      <c r="AKB104" s="42"/>
      <c r="AKC104" s="42"/>
      <c r="AKD104" s="42"/>
      <c r="AKE104" s="42"/>
      <c r="AKF104" s="42"/>
      <c r="AKG104" s="42"/>
      <c r="AKH104" s="42"/>
      <c r="AKI104" s="42"/>
      <c r="AKJ104" s="42"/>
      <c r="AKK104" s="42"/>
      <c r="AKL104" s="42"/>
      <c r="AKM104" s="42"/>
      <c r="AKN104" s="42"/>
      <c r="AKO104" s="42"/>
      <c r="AKP104" s="42"/>
      <c r="AKQ104" s="42"/>
      <c r="AKR104" s="42"/>
      <c r="AKS104" s="42"/>
      <c r="AKT104" s="42"/>
      <c r="AKU104" s="42"/>
      <c r="AKV104" s="42"/>
      <c r="AKW104" s="42"/>
      <c r="AKX104" s="42"/>
      <c r="AKY104" s="42"/>
      <c r="AKZ104" s="42"/>
      <c r="ALA104" s="42"/>
      <c r="ALB104" s="42"/>
      <c r="ALC104" s="42"/>
      <c r="ALD104" s="42"/>
      <c r="ALE104" s="42"/>
      <c r="ALF104" s="42"/>
      <c r="ALG104" s="42"/>
      <c r="ALH104" s="42"/>
      <c r="ALI104" s="42"/>
      <c r="ALJ104" s="42"/>
      <c r="ALK104" s="42"/>
      <c r="ALL104" s="42"/>
      <c r="ALM104" s="42"/>
      <c r="ALN104" s="42"/>
      <c r="ALO104" s="42"/>
      <c r="ALP104" s="42"/>
      <c r="ALQ104" s="42"/>
      <c r="ALR104" s="42"/>
      <c r="ALS104" s="42"/>
      <c r="ALT104" s="42"/>
      <c r="ALU104" s="42"/>
      <c r="ALV104" s="42"/>
      <c r="ALW104" s="42"/>
      <c r="ALX104" s="42"/>
      <c r="ALY104" s="42"/>
      <c r="ALZ104" s="42"/>
      <c r="AMA104" s="42"/>
      <c r="AMB104" s="42"/>
      <c r="AMC104" s="42"/>
      <c r="AMD104" s="42"/>
      <c r="AME104" s="42"/>
      <c r="AMF104" s="42"/>
      <c r="AMG104" s="42"/>
      <c r="AMH104" s="42"/>
      <c r="AMI104" s="42"/>
      <c r="AMJ104" s="42"/>
      <c r="AMK104" s="42"/>
      <c r="AML104" s="42"/>
      <c r="AMM104" s="42"/>
      <c r="AMN104" s="42"/>
    </row>
    <row r="105" spans="1:1028" ht="65" customHeight="1" x14ac:dyDescent="0.15">
      <c r="A105" s="25" t="s">
        <v>313</v>
      </c>
      <c r="B105" s="19" t="str">
        <f>VLOOKUP($E105,Liste!$A$2:$C$34,2,FALSE)</f>
        <v>Ökonometrie</v>
      </c>
      <c r="C105" s="15" t="s">
        <v>69</v>
      </c>
      <c r="D105" s="15" t="s">
        <v>70</v>
      </c>
      <c r="E105" s="15" t="s">
        <v>71</v>
      </c>
      <c r="F105" s="15" t="s">
        <v>108</v>
      </c>
      <c r="G105" s="15" t="s">
        <v>81</v>
      </c>
      <c r="H105" s="15" t="s">
        <v>64</v>
      </c>
      <c r="I105" s="26">
        <v>0.58333333333333304</v>
      </c>
      <c r="J105" s="26">
        <v>0.66666666666666696</v>
      </c>
      <c r="K105" s="27" t="s">
        <v>106</v>
      </c>
      <c r="L105" s="27" t="s">
        <v>66</v>
      </c>
      <c r="M105" s="28"/>
      <c r="N105" s="27" t="s">
        <v>109</v>
      </c>
      <c r="O105" s="29">
        <v>77</v>
      </c>
      <c r="P105" s="27" t="str">
        <f>VLOOKUP($B105,Liste!$B$2:$C$34,2,FALSE)</f>
        <v>https://www.oek.wiwi.uni-due.de/</v>
      </c>
      <c r="Q105" s="27" t="s">
        <v>75</v>
      </c>
      <c r="R105" s="28" t="s">
        <v>67</v>
      </c>
      <c r="S105" s="30">
        <v>3</v>
      </c>
      <c r="T105" s="30" t="s">
        <v>302</v>
      </c>
      <c r="U105" s="30" t="s">
        <v>326</v>
      </c>
    </row>
    <row r="106" spans="1:1028" ht="65" customHeight="1" x14ac:dyDescent="0.15">
      <c r="A106" s="23" t="s">
        <v>295</v>
      </c>
      <c r="B106" s="18" t="str">
        <f>VLOOKUP($E106,Liste!$A$2:$C$34,2,FALSE)</f>
        <v>Wirtschafts- und Sozialstatistik</v>
      </c>
      <c r="C106" s="14" t="s">
        <v>339</v>
      </c>
      <c r="D106" s="14" t="s">
        <v>70</v>
      </c>
      <c r="E106" s="14" t="s">
        <v>483</v>
      </c>
      <c r="F106" s="14" t="s">
        <v>337</v>
      </c>
      <c r="G106" s="14" t="s">
        <v>102</v>
      </c>
      <c r="H106" s="14" t="s">
        <v>176</v>
      </c>
      <c r="I106" s="14">
        <v>0.41666666666666669</v>
      </c>
      <c r="J106" s="14">
        <v>0.5</v>
      </c>
      <c r="K106" s="14" t="s">
        <v>316</v>
      </c>
      <c r="L106" s="14" t="s">
        <v>66</v>
      </c>
      <c r="M106" s="14" t="s">
        <v>235</v>
      </c>
      <c r="N106" s="14" t="s">
        <v>418</v>
      </c>
      <c r="O106" s="14" t="s">
        <v>509</v>
      </c>
      <c r="P106" s="49" t="str">
        <f>VLOOKUP($B106,Liste!$B$2:$C$34,2,FALSE)</f>
        <v>https://www.statistik.tu-dortmund.de/iwus.html</v>
      </c>
      <c r="Q106" s="23" t="s">
        <v>523</v>
      </c>
      <c r="R106" s="14" t="s">
        <v>67</v>
      </c>
      <c r="S106" s="14">
        <v>5</v>
      </c>
      <c r="T106" s="14" t="s">
        <v>305</v>
      </c>
      <c r="U106" s="14" t="s">
        <v>326</v>
      </c>
    </row>
    <row r="107" spans="1:1028" ht="65" customHeight="1" x14ac:dyDescent="0.15">
      <c r="A107" s="23" t="s">
        <v>294</v>
      </c>
      <c r="B107" s="18" t="str">
        <f>VLOOKUP($E107,Liste!$A$2:$C$34,2,FALSE)</f>
        <v>Wirtschafts- und Sozialstatistik</v>
      </c>
      <c r="C107" s="14" t="s">
        <v>339</v>
      </c>
      <c r="D107" s="14" t="s">
        <v>70</v>
      </c>
      <c r="E107" s="14" t="s">
        <v>483</v>
      </c>
      <c r="F107" s="14" t="s">
        <v>338</v>
      </c>
      <c r="G107" s="14" t="s">
        <v>93</v>
      </c>
      <c r="H107" s="14" t="s">
        <v>176</v>
      </c>
      <c r="I107" s="14">
        <v>0.33333333333333331</v>
      </c>
      <c r="J107" s="14">
        <v>0.41666666666666669</v>
      </c>
      <c r="K107" s="14" t="s">
        <v>316</v>
      </c>
      <c r="L107" s="14" t="s">
        <v>66</v>
      </c>
      <c r="M107" s="14" t="s">
        <v>235</v>
      </c>
      <c r="N107" s="23" t="s">
        <v>418</v>
      </c>
      <c r="O107" s="14" t="s">
        <v>509</v>
      </c>
      <c r="P107" s="49" t="str">
        <f>VLOOKUP($B107,Liste!$B$2:$C$34,2,FALSE)</f>
        <v>https://www.statistik.tu-dortmund.de/iwus.html</v>
      </c>
      <c r="Q107" s="23" t="s">
        <v>523</v>
      </c>
      <c r="R107" s="14" t="s">
        <v>67</v>
      </c>
      <c r="S107" s="14">
        <v>5</v>
      </c>
      <c r="T107" s="14" t="s">
        <v>306</v>
      </c>
      <c r="U107" s="14" t="s">
        <v>326</v>
      </c>
    </row>
    <row r="108" spans="1:1028" ht="65" customHeight="1" x14ac:dyDescent="0.15">
      <c r="A108" s="23" t="s">
        <v>293</v>
      </c>
      <c r="B108" s="18" t="str">
        <f>VLOOKUP($E108,Liste!$A$2:$C$34,2,FALSE)</f>
        <v>Wirtschafts- und Sozialstatistik</v>
      </c>
      <c r="C108" s="14" t="s">
        <v>339</v>
      </c>
      <c r="D108" s="14" t="s">
        <v>70</v>
      </c>
      <c r="E108" s="14" t="s">
        <v>483</v>
      </c>
      <c r="F108" s="14" t="s">
        <v>336</v>
      </c>
      <c r="G108" s="14" t="s">
        <v>63</v>
      </c>
      <c r="H108" s="14" t="s">
        <v>176</v>
      </c>
      <c r="I108" s="14">
        <v>0.41666666666666669</v>
      </c>
      <c r="J108" s="14">
        <v>0.5</v>
      </c>
      <c r="K108" s="14" t="s">
        <v>316</v>
      </c>
      <c r="L108" s="14" t="s">
        <v>66</v>
      </c>
      <c r="M108" s="14" t="s">
        <v>235</v>
      </c>
      <c r="N108" s="23" t="s">
        <v>418</v>
      </c>
      <c r="O108" s="14" t="s">
        <v>509</v>
      </c>
      <c r="P108" s="49" t="str">
        <f>VLOOKUP($B108,Liste!$B$2:$C$34,2,FALSE)</f>
        <v>https://www.statistik.tu-dortmund.de/iwus.html</v>
      </c>
      <c r="Q108" s="23" t="s">
        <v>523</v>
      </c>
      <c r="R108" s="14" t="s">
        <v>67</v>
      </c>
      <c r="S108" s="14">
        <v>5</v>
      </c>
      <c r="T108" s="14" t="s">
        <v>304</v>
      </c>
      <c r="U108" s="14" t="s">
        <v>326</v>
      </c>
    </row>
    <row r="109" spans="1:1028" ht="65" customHeight="1" x14ac:dyDescent="0.15">
      <c r="A109" s="23" t="s">
        <v>386</v>
      </c>
      <c r="B109" s="18" t="str">
        <f>VLOOKUP($E109,Liste!$A$2:$C$34,2,FALSE)</f>
        <v>Statistik in den Biowissenschaften</v>
      </c>
      <c r="C109" s="14" t="s">
        <v>340</v>
      </c>
      <c r="D109" s="14" t="s">
        <v>70</v>
      </c>
      <c r="E109" s="14" t="s">
        <v>252</v>
      </c>
      <c r="F109" s="14" t="s">
        <v>387</v>
      </c>
      <c r="G109" s="14" t="s">
        <v>63</v>
      </c>
      <c r="H109" s="14" t="s">
        <v>176</v>
      </c>
      <c r="I109" s="14">
        <v>0.5</v>
      </c>
      <c r="J109" s="14">
        <v>0.58333333333333337</v>
      </c>
      <c r="K109" s="14" t="s">
        <v>316</v>
      </c>
      <c r="L109" s="14" t="s">
        <v>66</v>
      </c>
      <c r="M109" s="14"/>
      <c r="N109" s="49" t="s">
        <v>388</v>
      </c>
      <c r="O109" s="14" t="s">
        <v>507</v>
      </c>
      <c r="P109" s="49" t="str">
        <f>VLOOKUP($B109,Liste!$B$2:$C$34,2,FALSE)</f>
        <v>https://www.statistik.tu-dortmund.de/naturwissenschaften.html</v>
      </c>
      <c r="Q109" s="49"/>
      <c r="R109" s="14" t="s">
        <v>90</v>
      </c>
      <c r="S109" s="14">
        <v>9</v>
      </c>
      <c r="T109" s="14" t="s">
        <v>302</v>
      </c>
      <c r="U109" s="14" t="s">
        <v>326</v>
      </c>
    </row>
    <row r="110" spans="1:1028" ht="65" customHeight="1" x14ac:dyDescent="0.15">
      <c r="A110" s="23" t="s">
        <v>386</v>
      </c>
      <c r="B110" s="18" t="str">
        <f>VLOOKUP($E110,Liste!$A$2:$C$34,2,FALSE)</f>
        <v>Statistik in den Biowissenschaften</v>
      </c>
      <c r="C110" s="14" t="s">
        <v>340</v>
      </c>
      <c r="D110" s="14" t="s">
        <v>76</v>
      </c>
      <c r="E110" s="14" t="s">
        <v>252</v>
      </c>
      <c r="F110" s="14" t="s">
        <v>389</v>
      </c>
      <c r="G110" s="14" t="s">
        <v>63</v>
      </c>
      <c r="H110" s="14" t="s">
        <v>176</v>
      </c>
      <c r="I110" s="14">
        <v>0.58333333333333337</v>
      </c>
      <c r="J110" s="14">
        <v>0.66666666666666663</v>
      </c>
      <c r="K110" s="14" t="s">
        <v>316</v>
      </c>
      <c r="L110" s="14" t="s">
        <v>66</v>
      </c>
      <c r="M110" s="14"/>
      <c r="N110" s="49" t="s">
        <v>390</v>
      </c>
      <c r="O110" s="14" t="s">
        <v>507</v>
      </c>
      <c r="P110" s="49" t="str">
        <f>VLOOKUP($B110,Liste!$B$2:$C$34,2,FALSE)</f>
        <v>https://www.statistik.tu-dortmund.de/naturwissenschaften.html</v>
      </c>
      <c r="Q110" s="49"/>
      <c r="R110" s="14" t="s">
        <v>90</v>
      </c>
      <c r="S110" s="14">
        <v>9</v>
      </c>
      <c r="T110" s="14" t="s">
        <v>302</v>
      </c>
      <c r="U110" s="14" t="s">
        <v>326</v>
      </c>
    </row>
    <row r="111" spans="1:1028" ht="65" customHeight="1" x14ac:dyDescent="0.15">
      <c r="A111" s="25" t="s">
        <v>165</v>
      </c>
      <c r="B111" s="19" t="str">
        <f>VLOOKUP($E111,Liste!$A$2:$C$34,2,FALSE)</f>
        <v>Statistik</v>
      </c>
      <c r="C111" s="15" t="s">
        <v>165</v>
      </c>
      <c r="D111" s="15" t="s">
        <v>61</v>
      </c>
      <c r="E111" s="15" t="s">
        <v>99</v>
      </c>
      <c r="F111" s="15" t="s">
        <v>166</v>
      </c>
      <c r="G111" s="15"/>
      <c r="H111" s="15" t="s">
        <v>64</v>
      </c>
      <c r="I111" s="26"/>
      <c r="J111" s="26"/>
      <c r="K111" s="27" t="s">
        <v>297</v>
      </c>
      <c r="L111" s="27" t="s">
        <v>74</v>
      </c>
      <c r="M111" s="28" t="s">
        <v>167</v>
      </c>
      <c r="N111" s="62" t="s">
        <v>571</v>
      </c>
      <c r="O111" s="29">
        <v>84</v>
      </c>
      <c r="P111" s="27" t="str">
        <f>VLOOKUP($B111,Liste!$B$2:$C$34,2,FALSE)</f>
        <v>https://www.stat.wiwi.uni-due.de/</v>
      </c>
      <c r="Q111" s="27" t="s">
        <v>545</v>
      </c>
      <c r="R111" s="28" t="s">
        <v>90</v>
      </c>
      <c r="S111" s="30">
        <v>6</v>
      </c>
      <c r="T111" s="30" t="s">
        <v>301</v>
      </c>
      <c r="U111" s="30" t="s">
        <v>325</v>
      </c>
    </row>
    <row r="112" spans="1:1028" ht="65" customHeight="1" x14ac:dyDescent="0.15">
      <c r="A112" s="25" t="s">
        <v>151</v>
      </c>
      <c r="B112" s="19" t="str">
        <f>VLOOKUP($E112,Liste!$A$2:$C$34,2,FALSE)</f>
        <v>Statistik</v>
      </c>
      <c r="C112" s="15" t="s">
        <v>151</v>
      </c>
      <c r="D112" s="15" t="s">
        <v>70</v>
      </c>
      <c r="E112" s="15" t="s">
        <v>99</v>
      </c>
      <c r="F112" s="15" t="s">
        <v>43</v>
      </c>
      <c r="G112" s="15" t="s">
        <v>93</v>
      </c>
      <c r="H112" s="15" t="s">
        <v>64</v>
      </c>
      <c r="I112" s="26">
        <v>0.66666666666666696</v>
      </c>
      <c r="J112" s="26">
        <v>0.75</v>
      </c>
      <c r="K112" s="27" t="s">
        <v>152</v>
      </c>
      <c r="L112" s="27" t="s">
        <v>74</v>
      </c>
      <c r="M112" s="28" t="s">
        <v>136</v>
      </c>
      <c r="N112" s="62" t="s">
        <v>153</v>
      </c>
      <c r="O112" s="29">
        <v>82</v>
      </c>
      <c r="P112" s="27" t="str">
        <f>VLOOKUP($B112,Liste!$B$2:$C$34,2,FALSE)</f>
        <v>https://www.stat.wiwi.uni-due.de/</v>
      </c>
      <c r="Q112" s="27" t="s">
        <v>546</v>
      </c>
      <c r="R112" s="28" t="s">
        <v>90</v>
      </c>
      <c r="S112" s="30">
        <v>3</v>
      </c>
      <c r="T112" s="30" t="s">
        <v>302</v>
      </c>
      <c r="U112" s="30" t="s">
        <v>326</v>
      </c>
    </row>
    <row r="113" spans="1:21" ht="65" customHeight="1" x14ac:dyDescent="0.15">
      <c r="A113" s="25" t="s">
        <v>151</v>
      </c>
      <c r="B113" s="19" t="str">
        <f>VLOOKUP($E113,Liste!$A$2:$C$34,2,FALSE)</f>
        <v>Statistik</v>
      </c>
      <c r="C113" s="15" t="s">
        <v>151</v>
      </c>
      <c r="D113" s="15" t="s">
        <v>76</v>
      </c>
      <c r="E113" s="15" t="s">
        <v>99</v>
      </c>
      <c r="F113" s="15" t="s">
        <v>38</v>
      </c>
      <c r="G113" s="15" t="s">
        <v>93</v>
      </c>
      <c r="H113" s="15" t="s">
        <v>64</v>
      </c>
      <c r="I113" s="26">
        <v>0.58333333333333304</v>
      </c>
      <c r="J113" s="26">
        <v>0.66666666666666696</v>
      </c>
      <c r="K113" s="27" t="s">
        <v>152</v>
      </c>
      <c r="L113" s="27" t="s">
        <v>74</v>
      </c>
      <c r="M113" s="28" t="s">
        <v>136</v>
      </c>
      <c r="N113" s="62" t="s">
        <v>154</v>
      </c>
      <c r="O113" s="29">
        <v>82</v>
      </c>
      <c r="P113" s="27" t="str">
        <f>VLOOKUP($B113,Liste!$B$2:$C$34,2,FALSE)</f>
        <v>https://www.stat.wiwi.uni-due.de/</v>
      </c>
      <c r="Q113" s="27" t="s">
        <v>546</v>
      </c>
      <c r="R113" s="28" t="s">
        <v>90</v>
      </c>
      <c r="S113" s="30">
        <v>3</v>
      </c>
      <c r="T113" s="30" t="s">
        <v>302</v>
      </c>
      <c r="U113" s="30" t="s">
        <v>326</v>
      </c>
    </row>
    <row r="114" spans="1:21" ht="65" customHeight="1" x14ac:dyDescent="0.15">
      <c r="A114" s="23" t="s">
        <v>251</v>
      </c>
      <c r="B114" s="18" t="str">
        <f>VLOOKUP($E114,Liste!$A$2:$C$34,2,FALSE)</f>
        <v>Statistik in den Biowissenschaften</v>
      </c>
      <c r="C114" s="14" t="s">
        <v>340</v>
      </c>
      <c r="D114" s="14" t="s">
        <v>70</v>
      </c>
      <c r="E114" s="14" t="s">
        <v>252</v>
      </c>
      <c r="F114" s="14" t="s">
        <v>253</v>
      </c>
      <c r="G114" s="14" t="s">
        <v>81</v>
      </c>
      <c r="H114" s="14" t="s">
        <v>176</v>
      </c>
      <c r="I114" s="14">
        <v>0.5</v>
      </c>
      <c r="J114" s="14">
        <v>0.58333333333333337</v>
      </c>
      <c r="K114" s="14" t="s">
        <v>297</v>
      </c>
      <c r="L114" s="14" t="s">
        <v>149</v>
      </c>
      <c r="M114" s="14"/>
      <c r="N114" s="49" t="s">
        <v>350</v>
      </c>
      <c r="O114" s="14" t="s">
        <v>507</v>
      </c>
      <c r="P114" s="49" t="str">
        <f>VLOOKUP($B114,Liste!$B$2:$C$34,2,FALSE)</f>
        <v>https://www.statistik.tu-dortmund.de/naturwissenschaften.html</v>
      </c>
      <c r="Q114" s="49" t="s">
        <v>254</v>
      </c>
      <c r="R114" s="14" t="s">
        <v>90</v>
      </c>
      <c r="S114" s="14">
        <v>9</v>
      </c>
      <c r="T114" s="14" t="s">
        <v>302</v>
      </c>
      <c r="U114" s="14" t="s">
        <v>326</v>
      </c>
    </row>
    <row r="115" spans="1:21" ht="65" customHeight="1" x14ac:dyDescent="0.15">
      <c r="A115" s="23" t="s">
        <v>251</v>
      </c>
      <c r="B115" s="18" t="str">
        <f>VLOOKUP($E115,Liste!$A$2:$C$34,2,FALSE)</f>
        <v>Statistik in den Biowissenschaften</v>
      </c>
      <c r="C115" s="14" t="s">
        <v>340</v>
      </c>
      <c r="D115" s="14" t="s">
        <v>76</v>
      </c>
      <c r="E115" s="14" t="s">
        <v>252</v>
      </c>
      <c r="F115" s="14" t="s">
        <v>255</v>
      </c>
      <c r="G115" s="14" t="s">
        <v>93</v>
      </c>
      <c r="H115" s="14" t="s">
        <v>176</v>
      </c>
      <c r="I115" s="14">
        <v>0.58333333333333337</v>
      </c>
      <c r="J115" s="14">
        <v>0.66666666666666663</v>
      </c>
      <c r="K115" s="14" t="s">
        <v>297</v>
      </c>
      <c r="L115" s="14" t="s">
        <v>149</v>
      </c>
      <c r="M115" s="14"/>
      <c r="N115" s="49" t="s">
        <v>349</v>
      </c>
      <c r="O115" s="14" t="s">
        <v>507</v>
      </c>
      <c r="P115" s="49" t="str">
        <f>VLOOKUP($B115,Liste!$B$2:$C$34,2,FALSE)</f>
        <v>https://www.statistik.tu-dortmund.de/naturwissenschaften.html</v>
      </c>
      <c r="Q115" s="49" t="s">
        <v>256</v>
      </c>
      <c r="R115" s="14" t="s">
        <v>90</v>
      </c>
      <c r="S115" s="14">
        <v>9</v>
      </c>
      <c r="T115" s="14" t="s">
        <v>302</v>
      </c>
      <c r="U115" s="14" t="s">
        <v>326</v>
      </c>
    </row>
    <row r="116" spans="1:21" ht="65" customHeight="1" x14ac:dyDescent="0.15">
      <c r="A116" s="25" t="s">
        <v>168</v>
      </c>
      <c r="B116" s="19" t="str">
        <f>VLOOKUP($E116,Liste!$A$2:$C$34,2,FALSE)</f>
        <v>Lehrstuhl für Finanzierung</v>
      </c>
      <c r="C116" s="15" t="s">
        <v>168</v>
      </c>
      <c r="D116" s="15" t="s">
        <v>169</v>
      </c>
      <c r="E116" s="15" t="s">
        <v>170</v>
      </c>
      <c r="F116" s="15" t="s">
        <v>171</v>
      </c>
      <c r="G116" s="15" t="s">
        <v>102</v>
      </c>
      <c r="H116" s="15" t="s">
        <v>64</v>
      </c>
      <c r="I116" s="26">
        <v>0.41666666666666702</v>
      </c>
      <c r="J116" s="26">
        <v>0.58333333333333304</v>
      </c>
      <c r="K116" s="27" t="s">
        <v>297</v>
      </c>
      <c r="L116" s="27" t="s">
        <v>74</v>
      </c>
      <c r="M116" s="28"/>
      <c r="N116" s="27" t="s">
        <v>575</v>
      </c>
      <c r="O116" s="29">
        <v>60</v>
      </c>
      <c r="P116" s="27" t="str">
        <f>VLOOKUP($B116,Liste!$B$2:$C$34,2,FALSE)</f>
        <v>https://www.fin.wiwi.uni-due.de/</v>
      </c>
      <c r="Q116" s="27" t="s">
        <v>548</v>
      </c>
      <c r="R116" s="28" t="s">
        <v>67</v>
      </c>
      <c r="S116" s="30">
        <v>6</v>
      </c>
      <c r="T116" s="30" t="s">
        <v>303</v>
      </c>
      <c r="U116" s="30" t="s">
        <v>325</v>
      </c>
    </row>
    <row r="117" spans="1:21" ht="65" customHeight="1" x14ac:dyDescent="0.15">
      <c r="A117" s="23" t="s">
        <v>257</v>
      </c>
      <c r="B117" s="18" t="str">
        <f>VLOOKUP($E117,Liste!$A$2:$C$34,2,FALSE)</f>
        <v>Wirtschafts- und Sozialstatistik</v>
      </c>
      <c r="C117" s="14" t="s">
        <v>257</v>
      </c>
      <c r="D117" s="14" t="s">
        <v>70</v>
      </c>
      <c r="E117" s="14" t="s">
        <v>483</v>
      </c>
      <c r="F117" s="14" t="s">
        <v>1</v>
      </c>
      <c r="G117" s="14" t="s">
        <v>102</v>
      </c>
      <c r="H117" s="14" t="s">
        <v>176</v>
      </c>
      <c r="I117" s="14">
        <v>0.5</v>
      </c>
      <c r="J117" s="14">
        <v>0.58333333333333304</v>
      </c>
      <c r="K117" s="14" t="s">
        <v>370</v>
      </c>
      <c r="L117" s="14" t="s">
        <v>74</v>
      </c>
      <c r="M117" s="14"/>
      <c r="N117" s="63" t="s">
        <v>573</v>
      </c>
      <c r="O117" s="14" t="s">
        <v>511</v>
      </c>
      <c r="P117" s="49" t="str">
        <f>VLOOKUP($B117,Liste!$B$2:$C$34,2,FALSE)</f>
        <v>https://www.statistik.tu-dortmund.de/iwus.html</v>
      </c>
      <c r="Q117" s="49" t="s">
        <v>258</v>
      </c>
      <c r="R117" s="14" t="s">
        <v>90</v>
      </c>
      <c r="S117" s="14">
        <v>10</v>
      </c>
      <c r="T117" s="14" t="s">
        <v>309</v>
      </c>
      <c r="U117" s="14" t="s">
        <v>325</v>
      </c>
    </row>
    <row r="118" spans="1:21" ht="65" customHeight="1" x14ac:dyDescent="0.15">
      <c r="A118" s="23" t="s">
        <v>257</v>
      </c>
      <c r="B118" s="18" t="str">
        <f>VLOOKUP($E118,Liste!$A$2:$C$34,2,FALSE)</f>
        <v>Wirtschafts- und Sozialstatistik</v>
      </c>
      <c r="C118" s="14" t="s">
        <v>257</v>
      </c>
      <c r="D118" s="14" t="s">
        <v>76</v>
      </c>
      <c r="E118" s="14" t="s">
        <v>483</v>
      </c>
      <c r="F118" s="14" t="s">
        <v>9</v>
      </c>
      <c r="G118" s="14" t="s">
        <v>63</v>
      </c>
      <c r="H118" s="14" t="s">
        <v>176</v>
      </c>
      <c r="I118" s="14">
        <v>0.66666666666666663</v>
      </c>
      <c r="J118" s="14">
        <v>0.75</v>
      </c>
      <c r="K118" s="14" t="s">
        <v>370</v>
      </c>
      <c r="L118" s="14" t="s">
        <v>74</v>
      </c>
      <c r="M118" s="14"/>
      <c r="N118" s="63" t="s">
        <v>574</v>
      </c>
      <c r="O118" s="14" t="s">
        <v>511</v>
      </c>
      <c r="P118" s="49" t="str">
        <f>VLOOKUP($B118,Liste!$B$2:$C$34,2,FALSE)</f>
        <v>https://www.statistik.tu-dortmund.de/iwus.html</v>
      </c>
      <c r="Q118" s="49" t="s">
        <v>258</v>
      </c>
      <c r="R118" s="14" t="s">
        <v>90</v>
      </c>
      <c r="S118" s="14">
        <v>10</v>
      </c>
      <c r="T118" s="14" t="s">
        <v>309</v>
      </c>
      <c r="U118" s="14" t="s">
        <v>325</v>
      </c>
    </row>
    <row r="119" spans="1:21" ht="65" customHeight="1" x14ac:dyDescent="0.15">
      <c r="A119" s="23" t="s">
        <v>257</v>
      </c>
      <c r="B119" s="18" t="str">
        <f>VLOOKUP($E119,Liste!$A$2:$C$34,2,FALSE)</f>
        <v>Wirtschafts- und Sozialstatistik</v>
      </c>
      <c r="C119" s="14" t="s">
        <v>257</v>
      </c>
      <c r="D119" s="14" t="s">
        <v>70</v>
      </c>
      <c r="E119" s="14" t="s">
        <v>483</v>
      </c>
      <c r="F119" s="14" t="s">
        <v>1</v>
      </c>
      <c r="G119" s="14" t="s">
        <v>63</v>
      </c>
      <c r="H119" s="14" t="s">
        <v>176</v>
      </c>
      <c r="I119" s="14">
        <v>0.41666666666666702</v>
      </c>
      <c r="J119" s="14">
        <v>0.5</v>
      </c>
      <c r="K119" s="14" t="s">
        <v>370</v>
      </c>
      <c r="L119" s="14" t="s">
        <v>74</v>
      </c>
      <c r="M119" s="14"/>
      <c r="N119" s="63" t="s">
        <v>573</v>
      </c>
      <c r="O119" s="49" t="s">
        <v>511</v>
      </c>
      <c r="P119" s="49" t="str">
        <f>VLOOKUP($B119,Liste!$B$2:$C$34,2,FALSE)</f>
        <v>https://www.statistik.tu-dortmund.de/iwus.html</v>
      </c>
      <c r="Q119" s="49" t="s">
        <v>258</v>
      </c>
      <c r="R119" s="14" t="s">
        <v>90</v>
      </c>
      <c r="S119" s="14">
        <v>10</v>
      </c>
      <c r="T119" s="14" t="s">
        <v>309</v>
      </c>
      <c r="U119" s="14" t="s">
        <v>325</v>
      </c>
    </row>
    <row r="120" spans="1:21" ht="65" customHeight="1" x14ac:dyDescent="0.15">
      <c r="A120" s="23" t="s">
        <v>259</v>
      </c>
      <c r="B120" s="18" t="str">
        <f>VLOOKUP($E120,Liste!$A$2:$C$34,2,FALSE)</f>
        <v>Ökonometrie und Statistik</v>
      </c>
      <c r="C120" s="14" t="s">
        <v>340</v>
      </c>
      <c r="D120" s="14" t="s">
        <v>70</v>
      </c>
      <c r="E120" s="14" t="s">
        <v>428</v>
      </c>
      <c r="F120" s="14" t="s">
        <v>260</v>
      </c>
      <c r="G120" s="14"/>
      <c r="H120" s="14" t="s">
        <v>176</v>
      </c>
      <c r="I120" s="14" t="s">
        <v>261</v>
      </c>
      <c r="J120" s="14" t="s">
        <v>261</v>
      </c>
      <c r="K120" s="14" t="s">
        <v>297</v>
      </c>
      <c r="L120" s="14" t="s">
        <v>74</v>
      </c>
      <c r="M120" s="14" t="s">
        <v>262</v>
      </c>
      <c r="N120" s="63" t="s">
        <v>263</v>
      </c>
      <c r="O120" s="14" t="s">
        <v>507</v>
      </c>
      <c r="P120" s="49" t="str">
        <f>VLOOKUP($B120,Liste!$B$2:$C$34,2,FALSE)</f>
        <v>https://www.statistik.tu-dortmund.de/oekonometrie.html</v>
      </c>
      <c r="Q120" s="49" t="s">
        <v>264</v>
      </c>
      <c r="R120" s="14" t="s">
        <v>67</v>
      </c>
      <c r="S120" s="14">
        <v>9</v>
      </c>
      <c r="T120" s="14" t="s">
        <v>302</v>
      </c>
      <c r="U120" s="14" t="s">
        <v>326</v>
      </c>
    </row>
    <row r="121" spans="1:21" ht="65" customHeight="1" x14ac:dyDescent="0.15">
      <c r="A121" s="47" t="s">
        <v>265</v>
      </c>
      <c r="B121" s="48" t="str">
        <f>VLOOKUP($E121,Liste!$A$2:$C$34,2,FALSE)</f>
        <v>Faculty of Statistics</v>
      </c>
      <c r="C121" s="47" t="s">
        <v>265</v>
      </c>
      <c r="D121" s="47" t="s">
        <v>76</v>
      </c>
      <c r="E121" s="47" t="s">
        <v>478</v>
      </c>
      <c r="F121" s="47" t="s">
        <v>352</v>
      </c>
      <c r="G121" s="47" t="s">
        <v>63</v>
      </c>
      <c r="H121" s="47" t="s">
        <v>176</v>
      </c>
      <c r="I121" s="47">
        <v>0.33333333333333331</v>
      </c>
      <c r="J121" s="47">
        <v>0.41666666666666669</v>
      </c>
      <c r="K121" s="47" t="s">
        <v>370</v>
      </c>
      <c r="L121" s="47" t="s">
        <v>74</v>
      </c>
      <c r="M121" s="47"/>
      <c r="N121" s="61" t="s">
        <v>477</v>
      </c>
      <c r="O121" s="47" t="s">
        <v>587</v>
      </c>
      <c r="P121" s="48" t="str">
        <f>VLOOKUP($B121,Liste!$B$2:$C$34,2,FALSE)</f>
        <v>https://www-ai.cs.tu-dortmund.de/index.html</v>
      </c>
      <c r="Q121" s="48"/>
      <c r="R121" s="47" t="s">
        <v>90</v>
      </c>
      <c r="S121" s="47">
        <v>8</v>
      </c>
      <c r="T121" s="47" t="s">
        <v>301</v>
      </c>
      <c r="U121" s="47" t="s">
        <v>326</v>
      </c>
    </row>
    <row r="122" spans="1:21" ht="65" customHeight="1" x14ac:dyDescent="0.15">
      <c r="A122" s="47" t="s">
        <v>265</v>
      </c>
      <c r="B122" s="48" t="str">
        <f>VLOOKUP($E122,Liste!$A$2:$C$34,2,FALSE)</f>
        <v>Faculty of Statistics</v>
      </c>
      <c r="C122" s="47" t="s">
        <v>265</v>
      </c>
      <c r="D122" s="47" t="s">
        <v>76</v>
      </c>
      <c r="E122" s="47" t="s">
        <v>478</v>
      </c>
      <c r="F122" s="47" t="s">
        <v>352</v>
      </c>
      <c r="G122" s="47" t="s">
        <v>84</v>
      </c>
      <c r="H122" s="47" t="s">
        <v>176</v>
      </c>
      <c r="I122" s="47">
        <v>0.58333333333333337</v>
      </c>
      <c r="J122" s="47">
        <v>0.66666666666666663</v>
      </c>
      <c r="K122" s="47" t="s">
        <v>370</v>
      </c>
      <c r="L122" s="47" t="s">
        <v>74</v>
      </c>
      <c r="M122" s="47"/>
      <c r="N122" s="61" t="s">
        <v>477</v>
      </c>
      <c r="O122" s="47" t="s">
        <v>587</v>
      </c>
      <c r="P122" s="48" t="str">
        <f>VLOOKUP($B122,Liste!$B$2:$C$34,2,FALSE)</f>
        <v>https://www-ai.cs.tu-dortmund.de/index.html</v>
      </c>
      <c r="Q122" s="48"/>
      <c r="R122" s="47" t="s">
        <v>90</v>
      </c>
      <c r="S122" s="47">
        <v>8</v>
      </c>
      <c r="T122" s="47" t="s">
        <v>301</v>
      </c>
      <c r="U122" s="47" t="s">
        <v>326</v>
      </c>
    </row>
    <row r="123" spans="1:21" ht="65" customHeight="1" x14ac:dyDescent="0.15">
      <c r="A123" s="47" t="s">
        <v>265</v>
      </c>
      <c r="B123" s="48" t="str">
        <f>VLOOKUP($E123,Liste!$A$2:$C$34,2,FALSE)</f>
        <v>Faculty of Statistics</v>
      </c>
      <c r="C123" s="47" t="s">
        <v>265</v>
      </c>
      <c r="D123" s="47" t="s">
        <v>70</v>
      </c>
      <c r="E123" s="47" t="s">
        <v>478</v>
      </c>
      <c r="F123" s="47" t="s">
        <v>351</v>
      </c>
      <c r="G123" s="47" t="s">
        <v>63</v>
      </c>
      <c r="H123" s="47" t="s">
        <v>176</v>
      </c>
      <c r="I123" s="47">
        <v>0.41666666666666669</v>
      </c>
      <c r="J123" s="47">
        <v>0.5</v>
      </c>
      <c r="K123" s="47" t="s">
        <v>370</v>
      </c>
      <c r="L123" s="47" t="s">
        <v>74</v>
      </c>
      <c r="M123" s="47"/>
      <c r="N123" s="61" t="s">
        <v>477</v>
      </c>
      <c r="O123" s="47" t="s">
        <v>587</v>
      </c>
      <c r="P123" s="48" t="str">
        <f>VLOOKUP($B123,Liste!$B$2:$C$34,2,FALSE)</f>
        <v>https://www-ai.cs.tu-dortmund.de/index.html</v>
      </c>
      <c r="Q123" s="48"/>
      <c r="R123" s="47" t="s">
        <v>90</v>
      </c>
      <c r="S123" s="47">
        <v>8</v>
      </c>
      <c r="T123" s="47" t="s">
        <v>301</v>
      </c>
      <c r="U123" s="47" t="s">
        <v>326</v>
      </c>
    </row>
    <row r="124" spans="1:21" ht="65" customHeight="1" x14ac:dyDescent="0.15">
      <c r="A124" s="47" t="s">
        <v>265</v>
      </c>
      <c r="B124" s="48" t="str">
        <f>VLOOKUP($E124,Liste!$A$2:$C$34,2,FALSE)</f>
        <v>Faculty of Statistics</v>
      </c>
      <c r="C124" s="47" t="s">
        <v>265</v>
      </c>
      <c r="D124" s="47" t="s">
        <v>70</v>
      </c>
      <c r="E124" s="47" t="s">
        <v>478</v>
      </c>
      <c r="F124" s="47" t="s">
        <v>351</v>
      </c>
      <c r="G124" s="47" t="s">
        <v>115</v>
      </c>
      <c r="H124" s="47" t="s">
        <v>176</v>
      </c>
      <c r="I124" s="47">
        <v>0.58333333333333337</v>
      </c>
      <c r="J124" s="47">
        <v>0.66666666666666663</v>
      </c>
      <c r="K124" s="47" t="s">
        <v>370</v>
      </c>
      <c r="L124" s="47" t="s">
        <v>74</v>
      </c>
      <c r="M124" s="47"/>
      <c r="N124" s="61" t="s">
        <v>477</v>
      </c>
      <c r="O124" s="47" t="s">
        <v>587</v>
      </c>
      <c r="P124" s="48" t="str">
        <f>VLOOKUP($B124,Liste!$B$2:$C$34,2,FALSE)</f>
        <v>https://www-ai.cs.tu-dortmund.de/index.html</v>
      </c>
      <c r="Q124" s="48"/>
      <c r="R124" s="47" t="s">
        <v>90</v>
      </c>
      <c r="S124" s="47">
        <v>8</v>
      </c>
      <c r="T124" s="47" t="s">
        <v>301</v>
      </c>
      <c r="U124" s="47" t="s">
        <v>326</v>
      </c>
    </row>
    <row r="125" spans="1:21" ht="65" customHeight="1" x14ac:dyDescent="0.15">
      <c r="A125" s="23" t="s">
        <v>606</v>
      </c>
      <c r="B125" s="18" t="str">
        <f>VLOOKUP($E125,Liste!$A$2:$C$34,2,FALSE)</f>
        <v>Wirtschafts- und Sozialstatistik</v>
      </c>
      <c r="C125" s="14" t="s">
        <v>284</v>
      </c>
      <c r="D125" s="14" t="s">
        <v>61</v>
      </c>
      <c r="E125" s="14" t="s">
        <v>483</v>
      </c>
      <c r="F125" s="14" t="s">
        <v>266</v>
      </c>
      <c r="G125" s="14" t="s">
        <v>148</v>
      </c>
      <c r="H125" s="14" t="s">
        <v>176</v>
      </c>
      <c r="I125" s="14" t="s">
        <v>148</v>
      </c>
      <c r="J125" s="14" t="s">
        <v>148</v>
      </c>
      <c r="K125" s="14" t="s">
        <v>316</v>
      </c>
      <c r="L125" s="14" t="s">
        <v>149</v>
      </c>
      <c r="M125" s="14"/>
      <c r="N125" s="49" t="s">
        <v>353</v>
      </c>
      <c r="O125" s="14" t="s">
        <v>607</v>
      </c>
      <c r="P125" s="49" t="str">
        <f>VLOOKUP($B125,Liste!$B$2:$C$34,2,FALSE)</f>
        <v>https://www.statistik.tu-dortmund.de/iwus.html</v>
      </c>
      <c r="Q125" s="49"/>
      <c r="R125" s="14" t="s">
        <v>90</v>
      </c>
      <c r="S125" s="14">
        <v>4</v>
      </c>
      <c r="T125" s="14" t="s">
        <v>302</v>
      </c>
      <c r="U125" s="14" t="s">
        <v>326</v>
      </c>
    </row>
  </sheetData>
  <sheetProtection formatCells="0" formatColumns="0" formatRows="0" insertColumns="0" insertRows="0" insertHyperlinks="0" deleteColumns="0" deleteRows="0" sort="0" autoFilter="0" pivotTables="0"/>
  <autoFilter ref="A1:U125" xr:uid="{00000000-0009-0000-0000-000001000000}">
    <sortState xmlns:xlrd2="http://schemas.microsoft.com/office/spreadsheetml/2017/richdata2" ref="A2:U125">
      <sortCondition ref="A1:A125"/>
    </sortState>
  </autoFilter>
  <dataValidations disablePrompts="1" count="1">
    <dataValidation type="list" allowBlank="1" showInputMessage="1" showErrorMessage="1" error="Select a day from the list. Select CANCEL, and then press ALT+DOWN ARROW to select from the drop-down list" sqref="AE65 G107:G123 G68:G91 G3:G66" xr:uid="{00000000-0002-0000-0100-000000000000}">
      <formula1>"SONNTAG,MONTAG,DIENSTAG,MITTWOCH,DONNERSTAG,FREITAG,SAMSTAG"</formula1>
      <formula2>0</formula2>
    </dataValidation>
  </dataValidations>
  <hyperlinks>
    <hyperlink ref="N20" r:id="rId1" xr:uid="{00000000-0004-0000-0100-000000000000}"/>
    <hyperlink ref="Q41" r:id="rId2" xr:uid="{00000000-0004-0000-0100-000004000000}"/>
    <hyperlink ref="Q42" r:id="rId3" xr:uid="{00000000-0004-0000-0100-000005000000}"/>
    <hyperlink ref="Q31" r:id="rId4" xr:uid="{00000000-0004-0000-0100-000007000000}"/>
    <hyperlink ref="N32" r:id="rId5" xr:uid="{00000000-0004-0000-0100-000008000000}"/>
    <hyperlink ref="Q32" r:id="rId6" xr:uid="{00000000-0004-0000-0100-000009000000}"/>
    <hyperlink ref="N104" r:id="rId7" xr:uid="{00000000-0004-0000-0100-000010000000}"/>
    <hyperlink ref="Q104" r:id="rId8" xr:uid="{00000000-0004-0000-0100-000011000000}"/>
    <hyperlink ref="N105" r:id="rId9" xr:uid="{00000000-0004-0000-0100-000012000000}"/>
    <hyperlink ref="Q105" r:id="rId10" xr:uid="{00000000-0004-0000-0100-000013000000}"/>
    <hyperlink ref="Q49" r:id="rId11" xr:uid="{00000000-0004-0000-0100-000014000000}"/>
    <hyperlink ref="Q50" r:id="rId12" xr:uid="{00000000-0004-0000-0100-000015000000}"/>
    <hyperlink ref="Q51" r:id="rId13" xr:uid="{00000000-0004-0000-0100-000016000000}"/>
    <hyperlink ref="Q52" r:id="rId14" xr:uid="{00000000-0004-0000-0100-000017000000}"/>
    <hyperlink ref="Q59" r:id="rId15" xr:uid="{00000000-0004-0000-0100-000018000000}"/>
    <hyperlink ref="Q60" r:id="rId16" xr:uid="{00000000-0004-0000-0100-000019000000}"/>
    <hyperlink ref="N79" r:id="rId17" xr:uid="{00000000-0004-0000-0100-000020000000}"/>
    <hyperlink ref="Q79" r:id="rId18" xr:uid="{00000000-0004-0000-0100-000021000000}"/>
    <hyperlink ref="N80" r:id="rId19" xr:uid="{00000000-0004-0000-0100-000022000000}"/>
    <hyperlink ref="Q80" r:id="rId20" xr:uid="{00000000-0004-0000-0100-000023000000}"/>
    <hyperlink ref="Q90" r:id="rId21" xr:uid="{00000000-0004-0000-0100-000026000000}"/>
    <hyperlink ref="Q91" r:id="rId22" xr:uid="{00000000-0004-0000-0100-000027000000}"/>
    <hyperlink ref="Q76" r:id="rId23" xr:uid="{00000000-0004-0000-0100-00002A000000}"/>
    <hyperlink ref="N112" r:id="rId24" xr:uid="{00000000-0004-0000-0100-00002B000000}"/>
    <hyperlink ref="N113" r:id="rId25" xr:uid="{00000000-0004-0000-0100-00002D000000}"/>
    <hyperlink ref="Q43" r:id="rId26" xr:uid="{00000000-0004-0000-0100-00002F000000}"/>
    <hyperlink ref="Q44" r:id="rId27" xr:uid="{00000000-0004-0000-0100-000030000000}"/>
    <hyperlink ref="Q102" r:id="rId28" xr:uid="{00000000-0004-0000-0100-000031000000}"/>
    <hyperlink ref="N16" r:id="rId29" xr:uid="{00000000-0004-0000-0100-000036000000}"/>
    <hyperlink ref="N17" r:id="rId30" xr:uid="{00000000-0004-0000-0100-000037000000}"/>
    <hyperlink ref="N18" r:id="rId31" xr:uid="{00000000-0004-0000-0100-000038000000}"/>
    <hyperlink ref="N19" r:id="rId32" xr:uid="{00000000-0004-0000-0100-000039000000}"/>
    <hyperlink ref="N27" r:id="rId33" xr:uid="{00000000-0004-0000-0100-00003A000000}"/>
    <hyperlink ref="N101" r:id="rId34" xr:uid="{00000000-0004-0000-0100-00003D000000}"/>
    <hyperlink ref="N100" r:id="rId35" xr:uid="{00000000-0004-0000-0100-00003E000000}"/>
    <hyperlink ref="M120" r:id="rId36" xr:uid="{00000000-0004-0000-0100-00003F000000}"/>
    <hyperlink ref="N23" r:id="rId37" xr:uid="{00000000-0004-0000-0100-000040000000}"/>
    <hyperlink ref="N21" r:id="rId38" xr:uid="{00000000-0004-0000-0100-000041000000}"/>
    <hyperlink ref="N24" r:id="rId39" xr:uid="{00000000-0004-0000-0100-000042000000}"/>
    <hyperlink ref="N6" r:id="rId40" xr:uid="{00000000-0004-0000-0100-000049000000}"/>
    <hyperlink ref="N76" r:id="rId41" xr:uid="{00000000-0004-0000-0100-00004A000000}"/>
    <hyperlink ref="N44" r:id="rId42" xr:uid="{00000000-0004-0000-0100-00004B000000}"/>
    <hyperlink ref="N10" r:id="rId43" xr:uid="{00000000-0004-0000-0100-00004C000000}"/>
    <hyperlink ref="N11" r:id="rId44" xr:uid="{00000000-0004-0000-0100-00004D000000}"/>
    <hyperlink ref="N12" r:id="rId45" xr:uid="{00000000-0004-0000-0100-00004E000000}"/>
    <hyperlink ref="N28" r:id="rId46" xr:uid="{00000000-0004-0000-0100-00004F000000}"/>
    <hyperlink ref="N36" r:id="rId47" location="basicdata" display="https://www.lsf.tu-dortmund.de/qisserver/rds?state=verpublish&amp;status=init&amp;vmfile=no&amp;publishid=214260&amp;moduleCall=webInfo&amp;publishConfFile=webInfo&amp;publishSubDir=veranstaltung - basicdata" xr:uid="{00000000-0004-0000-0100-000051000000}"/>
    <hyperlink ref="N54" r:id="rId48" xr:uid="{00000000-0004-0000-0100-000052000000}"/>
    <hyperlink ref="N93" r:id="rId49" xr:uid="{00000000-0004-0000-0100-000053000000}"/>
    <hyperlink ref="N94" r:id="rId50" xr:uid="{00000000-0004-0000-0100-000054000000}"/>
    <hyperlink ref="N97" r:id="rId51" xr:uid="{00000000-0004-0000-0100-000055000000}"/>
    <hyperlink ref="N115" r:id="rId52" xr:uid="{00000000-0004-0000-0100-000056000000}"/>
    <hyperlink ref="N114" r:id="rId53" xr:uid="{00000000-0004-0000-0100-000057000000}"/>
    <hyperlink ref="N125" r:id="rId54" xr:uid="{00000000-0004-0000-0100-00005B000000}"/>
    <hyperlink ref="Q26" r:id="rId55" location="page=77" display="http://www.wiwi.ruhr-uni-bochum.de/mam/content/dekanat/modulhandbuch__master_-wise_2018_19_21.08.2018.pdf - page=77" xr:uid="{00000000-0004-0000-0100-00005D000000}"/>
    <hyperlink ref="Q77" r:id="rId56" xr:uid="{00000000-0004-0000-0100-00005E000000}"/>
    <hyperlink ref="Q78" r:id="rId57" xr:uid="{00000000-0004-0000-0100-00005F000000}"/>
    <hyperlink ref="N55" r:id="rId58" xr:uid="{00000000-0004-0000-0100-000060000000}"/>
    <hyperlink ref="N56" r:id="rId59" xr:uid="{00000000-0004-0000-0100-000061000000}"/>
    <hyperlink ref="N57" r:id="rId60" xr:uid="{00000000-0004-0000-0100-000062000000}"/>
    <hyperlink ref="N8" r:id="rId61" xr:uid="{00000000-0004-0000-0100-000063000000}"/>
    <hyperlink ref="N9" r:id="rId62" xr:uid="{00000000-0004-0000-0100-000064000000}"/>
    <hyperlink ref="N74" r:id="rId63" xr:uid="{00000000-0004-0000-0100-000065000000}"/>
    <hyperlink ref="N75" r:id="rId64" xr:uid="{00000000-0004-0000-0100-000066000000}"/>
    <hyperlink ref="N109" r:id="rId65" xr:uid="{00000000-0004-0000-0100-000067000000}"/>
    <hyperlink ref="N110" r:id="rId66" xr:uid="{00000000-0004-0000-0100-000068000000}"/>
    <hyperlink ref="N41" r:id="rId67" xr:uid="{00000000-0004-0000-0100-000069000000}"/>
    <hyperlink ref="N42" r:id="rId68" xr:uid="{00000000-0004-0000-0100-00006A000000}"/>
    <hyperlink ref="N48" r:id="rId69" xr:uid="{00000000-0004-0000-0100-00006B000000}"/>
    <hyperlink ref="N49" r:id="rId70" xr:uid="{00000000-0004-0000-0100-00006C000000}"/>
    <hyperlink ref="N53" r:id="rId71" xr:uid="{00000000-0004-0000-0100-00006D000000}"/>
    <hyperlink ref="N3" r:id="rId72" xr:uid="{00000000-0004-0000-0100-00006E000000}"/>
    <hyperlink ref="N4" r:id="rId73" xr:uid="{00000000-0004-0000-0100-00006F000000}"/>
    <hyperlink ref="N2" r:id="rId74" xr:uid="{00000000-0004-0000-0100-000070000000}"/>
    <hyperlink ref="Q84" r:id="rId75" location="page=139" xr:uid="{00000000-0004-0000-0100-000074000000}"/>
    <hyperlink ref="Q85" r:id="rId76" location="page=139" xr:uid="{00000000-0004-0000-0100-000075000000}"/>
    <hyperlink ref="Q25" r:id="rId77" location="page=141" xr:uid="{00000000-0004-0000-0100-000076000000}"/>
    <hyperlink ref="Q99" r:id="rId78" location="page=143" xr:uid="{00000000-0004-0000-0100-000077000000}"/>
    <hyperlink ref="Q95" r:id="rId79" location="page=110" xr:uid="{00000000-0004-0000-0100-000078000000}"/>
    <hyperlink ref="Q29" r:id="rId80" location="page=112" xr:uid="{00000000-0004-0000-0100-000079000000}"/>
    <hyperlink ref="Q3" r:id="rId81" xr:uid="{00000000-0004-0000-0100-00007B000000}"/>
    <hyperlink ref="Q120" r:id="rId82" xr:uid="{00000000-0004-0000-0100-00007D000000}"/>
    <hyperlink ref="Q117" r:id="rId83" xr:uid="{00000000-0004-0000-0100-00007E000000}"/>
    <hyperlink ref="Q119" r:id="rId84" xr:uid="{00000000-0004-0000-0100-00007F000000}"/>
    <hyperlink ref="Q115" r:id="rId85" xr:uid="{00000000-0004-0000-0100-000080000000}"/>
    <hyperlink ref="Q114" r:id="rId86" location="page=8" xr:uid="{00000000-0004-0000-0100-000081000000}"/>
    <hyperlink ref="Q94" r:id="rId87" xr:uid="{00000000-0004-0000-0100-000082000000}"/>
    <hyperlink ref="Q93" r:id="rId88" xr:uid="{00000000-0004-0000-0100-000083000000}"/>
    <hyperlink ref="Q92" r:id="rId89" location="page=12" xr:uid="{00000000-0004-0000-0100-000084000000}"/>
    <hyperlink ref="Q36" r:id="rId90" location="page=82" xr:uid="{00000000-0004-0000-0100-000086000000}"/>
    <hyperlink ref="Q19" r:id="rId91" xr:uid="{00000000-0004-0000-0100-000087000000}"/>
    <hyperlink ref="Q18" r:id="rId92" xr:uid="{00000000-0004-0000-0100-000088000000}"/>
    <hyperlink ref="Q17" r:id="rId93" xr:uid="{00000000-0004-0000-0100-000089000000}"/>
    <hyperlink ref="Q16" r:id="rId94" xr:uid="{00000000-0004-0000-0100-00008A000000}"/>
    <hyperlink ref="Q4" r:id="rId95" xr:uid="{00000000-0004-0000-0100-00008E000000}"/>
    <hyperlink ref="N98" r:id="rId96" xr:uid="{00000000-0004-0000-0100-00008F000000}"/>
    <hyperlink ref="N26" r:id="rId97" xr:uid="{00000000-0004-0000-0100-000092000000}"/>
    <hyperlink ref="N73" r:id="rId98" xr:uid="{00000000-0004-0000-0100-000094000000}"/>
    <hyperlink ref="N46" r:id="rId99" xr:uid="{00000000-0004-0000-0100-000095000000}"/>
    <hyperlink ref="N120" r:id="rId100" xr:uid="{00000000-0004-0000-0100-000096000000}"/>
    <hyperlink ref="Q67" r:id="rId101" location="page=102" xr:uid="{00000000-0004-0000-0100-000097000000}"/>
    <hyperlink ref="Q9" r:id="rId102" location="page=8" xr:uid="{00000000-0004-0000-0100-000098000000}"/>
    <hyperlink ref="Q22" r:id="rId103" location="page=11" xr:uid="{00000000-0004-0000-0100-000099000000}"/>
    <hyperlink ref="N7" r:id="rId104" xr:uid="{00000000-0004-0000-0100-00009A000000}"/>
    <hyperlink ref="N106" r:id="rId105" xr:uid="{00000000-0004-0000-0100-00009B000000}"/>
    <hyperlink ref="Q83" r:id="rId106" xr:uid="{00000000-0004-0000-0100-00009C000000}"/>
    <hyperlink ref="Q5" r:id="rId107" display="https://www.wiwi.uni-due.de/studium-lehre/informationen-zu-den-modulen/advanced-forecasting-in-energy-markets-m796/" xr:uid="{00000000-0004-0000-0100-000072000000}"/>
    <hyperlink ref="Q33" r:id="rId108" xr:uid="{1950AC33-3892-574D-946B-CBEE8993A65E}"/>
    <hyperlink ref="Q35" r:id="rId109" xr:uid="{F0F30525-FFEB-E640-B469-27E66ABCDA78}"/>
    <hyperlink ref="Q113" r:id="rId110" xr:uid="{58D6B7F5-E7F8-9C47-B44A-AE3904C354BE}"/>
    <hyperlink ref="Q118" r:id="rId111" xr:uid="{6E20DD57-5065-2F4E-84FC-DE9C78883F0D}"/>
    <hyperlink ref="Q2" r:id="rId112" location="page=85" xr:uid="{779F7918-3DE9-B54A-B645-AECF2281E999}"/>
    <hyperlink ref="Q11" r:id="rId113" location="page=84" xr:uid="{C52BF419-2AD8-384C-8959-A40095FD2A59}"/>
    <hyperlink ref="Q10" r:id="rId114" location="page=84" xr:uid="{AC605A61-DD7B-FA49-863D-611BCFA2135B}"/>
    <hyperlink ref="Q88" r:id="rId115" location="page=8" xr:uid="{9B1B8B24-1E77-8047-9A3E-B85F8FD124D4}"/>
    <hyperlink ref="Q89" r:id="rId116" location="page=8" xr:uid="{EEF9E6CB-F6BF-3B4E-A752-4AB6FB79863F}"/>
    <hyperlink ref="N72" r:id="rId117" xr:uid="{1BEADCD0-314F-B447-B36B-9A7978C35B95}"/>
    <hyperlink ref="Q72" r:id="rId118" location="page=440" xr:uid="{BD1EE83E-E0EE-734E-998A-6D015A0C46F0}"/>
    <hyperlink ref="Q70" r:id="rId119" xr:uid="{0FC3DB5F-B205-7D42-86C5-1A9607FBB173}"/>
    <hyperlink ref="Q65" r:id="rId120" location="page=127" xr:uid="{3A30B539-6945-F745-87F4-B0010860B094}"/>
    <hyperlink ref="Q13" r:id="rId121" location="page=434" xr:uid="{BCF57C91-3D8B-E044-8F80-F9CB453041D9}"/>
    <hyperlink ref="Q34" r:id="rId122" xr:uid="{5EEEAB1E-9370-574B-B682-A06631BCB1D4}"/>
    <hyperlink ref="N15" r:id="rId123" xr:uid="{21ADB1FF-A47C-F747-8259-F39516FD8553}"/>
    <hyperlink ref="N121" r:id="rId124" xr:uid="{D0A5C8B7-E8DA-C544-BC47-168EEF27915F}"/>
    <hyperlink ref="N37" r:id="rId125" xr:uid="{0348E908-200F-F84D-A2B1-A2C428B92A82}"/>
    <hyperlink ref="N84" r:id="rId126" xr:uid="{3FE76A70-883A-2E4E-8BBE-182E9922A435}"/>
    <hyperlink ref="N85" r:id="rId127" xr:uid="{A0CA068F-F349-6747-85B1-36A871A5D5B1}"/>
    <hyperlink ref="N122" r:id="rId128" xr:uid="{16A41CD3-9852-B844-B726-0A7D51172BEC}"/>
    <hyperlink ref="N123" r:id="rId129" xr:uid="{A48FB653-90C4-9044-9969-586E46456106}"/>
    <hyperlink ref="N124" r:id="rId130" xr:uid="{E4B17585-515F-804B-A4E6-37BBF95B33AB}"/>
    <hyperlink ref="N5" r:id="rId131" xr:uid="{835BAA3B-00C2-1F43-BCF8-3379DB784475}"/>
    <hyperlink ref="N33" r:id="rId132" xr:uid="{66D444C8-3AFF-5042-9F58-3C1ED3139F65}"/>
    <hyperlink ref="N31" r:id="rId133" display="http://rgs-econ.org/courses/current/" xr:uid="{00000000-0004-0000-0100-000006000000}"/>
    <hyperlink ref="N95" r:id="rId134" xr:uid="{AD0BF937-0E00-5B45-9987-78A9BC491D84}"/>
    <hyperlink ref="N96" r:id="rId135" xr:uid="{B938BDC7-539B-1E43-BB4D-34246F9BDAFD}"/>
  </hyperlinks>
  <pageMargins left="0.7" right="0.7" top="0.78749999999999998" bottom="0.78749999999999998" header="0.51180555555555496" footer="0.51180555555555496"/>
  <pageSetup paperSize="9" firstPageNumber="0" orientation="portrait" horizontalDpi="300" verticalDpi="300" r:id="rId136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2:F73"/>
  <sheetViews>
    <sheetView zoomScale="142" workbookViewId="0">
      <selection activeCell="A2" sqref="A2"/>
    </sheetView>
  </sheetViews>
  <sheetFormatPr baseColWidth="10" defaultRowHeight="13" x14ac:dyDescent="0.15"/>
  <cols>
    <col min="1" max="2" width="45.83203125" customWidth="1"/>
    <col min="3" max="3" width="17" customWidth="1"/>
    <col min="4" max="4" width="5.83203125" bestFit="1" customWidth="1"/>
    <col min="5" max="5" width="31.33203125" customWidth="1"/>
    <col min="6" max="6" width="19.83203125" bestFit="1" customWidth="1"/>
  </cols>
  <sheetData>
    <row r="2" spans="1:6" ht="14" x14ac:dyDescent="0.15">
      <c r="A2" s="6" t="s">
        <v>362</v>
      </c>
      <c r="B2" s="6" t="s">
        <v>363</v>
      </c>
      <c r="C2" s="7" t="s">
        <v>364</v>
      </c>
      <c r="D2" s="7" t="s">
        <v>44</v>
      </c>
      <c r="E2" s="7" t="s">
        <v>365</v>
      </c>
      <c r="F2" s="7" t="s">
        <v>366</v>
      </c>
    </row>
    <row r="3" spans="1:6" ht="14" x14ac:dyDescent="0.15">
      <c r="A3" s="8" t="s">
        <v>172</v>
      </c>
      <c r="B3" s="8" t="s">
        <v>173</v>
      </c>
      <c r="C3" s="9" t="s">
        <v>67</v>
      </c>
      <c r="D3" s="9">
        <v>7.5</v>
      </c>
      <c r="E3" s="9" t="s">
        <v>303</v>
      </c>
      <c r="F3" s="9" t="s">
        <v>326</v>
      </c>
    </row>
    <row r="4" spans="1:6" ht="14" x14ac:dyDescent="0.15">
      <c r="A4" s="8" t="s">
        <v>180</v>
      </c>
      <c r="B4" s="8" t="s">
        <v>180</v>
      </c>
      <c r="C4" s="9" t="s">
        <v>137</v>
      </c>
      <c r="D4" s="9">
        <v>9</v>
      </c>
      <c r="E4" s="9" t="s">
        <v>302</v>
      </c>
      <c r="F4" s="9" t="s">
        <v>326</v>
      </c>
    </row>
    <row r="5" spans="1:6" ht="14" x14ac:dyDescent="0.15">
      <c r="A5" s="8" t="s">
        <v>60</v>
      </c>
      <c r="B5" s="8" t="s">
        <v>60</v>
      </c>
      <c r="C5" s="9" t="s">
        <v>67</v>
      </c>
      <c r="D5" s="9">
        <v>6</v>
      </c>
      <c r="E5" s="9" t="s">
        <v>301</v>
      </c>
      <c r="F5" s="9" t="s">
        <v>326</v>
      </c>
    </row>
    <row r="6" spans="1:6" ht="14" x14ac:dyDescent="0.15">
      <c r="A6" s="8" t="s">
        <v>317</v>
      </c>
      <c r="B6" s="8" t="s">
        <v>317</v>
      </c>
      <c r="C6" s="9" t="s">
        <v>67</v>
      </c>
      <c r="D6" s="9">
        <v>6</v>
      </c>
      <c r="E6" s="9" t="s">
        <v>301</v>
      </c>
      <c r="F6" s="9" t="s">
        <v>325</v>
      </c>
    </row>
    <row r="7" spans="1:6" ht="14" x14ac:dyDescent="0.15">
      <c r="A7" s="8" t="s">
        <v>379</v>
      </c>
      <c r="B7" s="8" t="s">
        <v>340</v>
      </c>
      <c r="C7" s="9" t="s">
        <v>67</v>
      </c>
      <c r="D7" s="8">
        <v>9</v>
      </c>
      <c r="E7" s="9" t="s">
        <v>302</v>
      </c>
      <c r="F7" s="8" t="s">
        <v>325</v>
      </c>
    </row>
    <row r="8" spans="1:6" ht="14" x14ac:dyDescent="0.15">
      <c r="A8" s="8" t="s">
        <v>187</v>
      </c>
      <c r="B8" s="8" t="s">
        <v>188</v>
      </c>
      <c r="C8" s="9" t="s">
        <v>137</v>
      </c>
      <c r="D8" s="9">
        <v>7.5</v>
      </c>
      <c r="E8" s="9" t="s">
        <v>301</v>
      </c>
      <c r="F8" s="9" t="s">
        <v>326</v>
      </c>
    </row>
    <row r="9" spans="1:6" ht="14" x14ac:dyDescent="0.15">
      <c r="A9" s="8" t="s">
        <v>193</v>
      </c>
      <c r="B9" s="8" t="s">
        <v>194</v>
      </c>
      <c r="C9" s="9" t="s">
        <v>137</v>
      </c>
      <c r="D9" s="9">
        <v>3.5</v>
      </c>
      <c r="E9" s="9" t="s">
        <v>303</v>
      </c>
      <c r="F9" s="9" t="s">
        <v>325</v>
      </c>
    </row>
    <row r="10" spans="1:6" ht="14" x14ac:dyDescent="0.15">
      <c r="A10" s="8" t="s">
        <v>267</v>
      </c>
      <c r="B10" s="8" t="s">
        <v>267</v>
      </c>
      <c r="C10" s="9" t="s">
        <v>67</v>
      </c>
      <c r="D10" s="9">
        <v>10</v>
      </c>
      <c r="E10" s="9" t="s">
        <v>301</v>
      </c>
      <c r="F10" s="9" t="s">
        <v>326</v>
      </c>
    </row>
    <row r="11" spans="1:6" ht="28" x14ac:dyDescent="0.15">
      <c r="A11" s="8" t="s">
        <v>202</v>
      </c>
      <c r="B11" s="8" t="s">
        <v>203</v>
      </c>
      <c r="C11" s="9" t="s">
        <v>67</v>
      </c>
      <c r="D11" s="9">
        <v>4</v>
      </c>
      <c r="E11" s="9" t="s">
        <v>303</v>
      </c>
      <c r="F11" s="9" t="s">
        <v>326</v>
      </c>
    </row>
    <row r="12" spans="1:6" ht="14" x14ac:dyDescent="0.15">
      <c r="A12" s="8" t="s">
        <v>207</v>
      </c>
      <c r="B12" s="8" t="s">
        <v>207</v>
      </c>
      <c r="C12" s="9" t="s">
        <v>90</v>
      </c>
      <c r="D12" s="9">
        <v>9</v>
      </c>
      <c r="E12" s="9" t="s">
        <v>302</v>
      </c>
      <c r="F12" s="9" t="s">
        <v>326</v>
      </c>
    </row>
    <row r="13" spans="1:6" ht="14" x14ac:dyDescent="0.15">
      <c r="A13" s="8" t="s">
        <v>68</v>
      </c>
      <c r="B13" s="8" t="s">
        <v>69</v>
      </c>
      <c r="C13" s="9" t="s">
        <v>67</v>
      </c>
      <c r="D13" s="9">
        <v>6</v>
      </c>
      <c r="E13" s="9" t="s">
        <v>302</v>
      </c>
      <c r="F13" s="9" t="s">
        <v>325</v>
      </c>
    </row>
    <row r="14" spans="1:6" ht="14" x14ac:dyDescent="0.15">
      <c r="A14" s="8" t="s">
        <v>299</v>
      </c>
      <c r="B14" s="8" t="s">
        <v>299</v>
      </c>
      <c r="C14" s="9" t="s">
        <v>90</v>
      </c>
      <c r="D14" s="9">
        <v>8</v>
      </c>
      <c r="E14" s="9" t="s">
        <v>308</v>
      </c>
      <c r="F14" s="9" t="s">
        <v>325</v>
      </c>
    </row>
    <row r="15" spans="1:6" ht="14" x14ac:dyDescent="0.15">
      <c r="A15" s="8" t="s">
        <v>78</v>
      </c>
      <c r="B15" s="8" t="s">
        <v>78</v>
      </c>
      <c r="C15" s="9" t="s">
        <v>67</v>
      </c>
      <c r="D15" s="9">
        <v>6</v>
      </c>
      <c r="E15" s="9" t="s">
        <v>302</v>
      </c>
      <c r="F15" s="9" t="s">
        <v>326</v>
      </c>
    </row>
    <row r="16" spans="1:6" ht="14" x14ac:dyDescent="0.15">
      <c r="A16" s="8" t="s">
        <v>271</v>
      </c>
      <c r="B16" s="8" t="s">
        <v>271</v>
      </c>
      <c r="C16" s="9" t="s">
        <v>67</v>
      </c>
      <c r="D16" s="9">
        <v>5</v>
      </c>
      <c r="E16" s="9" t="s">
        <v>303</v>
      </c>
      <c r="F16" s="9" t="s">
        <v>326</v>
      </c>
    </row>
    <row r="17" spans="1:6" ht="14" x14ac:dyDescent="0.15">
      <c r="A17" s="8" t="s">
        <v>274</v>
      </c>
      <c r="B17" s="8" t="s">
        <v>274</v>
      </c>
      <c r="C17" s="9" t="s">
        <v>67</v>
      </c>
      <c r="D17" s="9">
        <v>5</v>
      </c>
      <c r="E17" s="9" t="s">
        <v>301</v>
      </c>
      <c r="F17" s="9" t="s">
        <v>325</v>
      </c>
    </row>
    <row r="18" spans="1:6" ht="14" x14ac:dyDescent="0.15">
      <c r="A18" s="8" t="s">
        <v>213</v>
      </c>
      <c r="B18" s="8" t="s">
        <v>214</v>
      </c>
      <c r="C18" s="9" t="s">
        <v>67</v>
      </c>
      <c r="D18" s="9">
        <v>7.5</v>
      </c>
      <c r="E18" s="9" t="s">
        <v>303</v>
      </c>
      <c r="F18" s="9" t="s">
        <v>325</v>
      </c>
    </row>
    <row r="19" spans="1:6" ht="14" x14ac:dyDescent="0.15">
      <c r="A19" s="8" t="s">
        <v>276</v>
      </c>
      <c r="B19" s="8" t="s">
        <v>276</v>
      </c>
      <c r="C19" s="9" t="s">
        <v>67</v>
      </c>
      <c r="D19" s="9">
        <v>5</v>
      </c>
      <c r="E19" s="9" t="s">
        <v>301</v>
      </c>
      <c r="F19" s="9" t="s">
        <v>326</v>
      </c>
    </row>
    <row r="20" spans="1:6" ht="14" x14ac:dyDescent="0.15">
      <c r="A20" s="8" t="s">
        <v>219</v>
      </c>
      <c r="B20" s="8" t="s">
        <v>219</v>
      </c>
      <c r="C20" s="9" t="s">
        <v>67</v>
      </c>
      <c r="D20" s="9">
        <v>10</v>
      </c>
      <c r="E20" s="9" t="s">
        <v>307</v>
      </c>
      <c r="F20" s="9" t="s">
        <v>325</v>
      </c>
    </row>
    <row r="21" spans="1:6" ht="14" x14ac:dyDescent="0.15">
      <c r="A21" s="8" t="s">
        <v>92</v>
      </c>
      <c r="B21" s="8" t="s">
        <v>92</v>
      </c>
      <c r="C21" s="9" t="s">
        <v>67</v>
      </c>
      <c r="D21" s="9">
        <v>6</v>
      </c>
      <c r="E21" s="9" t="s">
        <v>301</v>
      </c>
      <c r="F21" s="9" t="s">
        <v>326</v>
      </c>
    </row>
    <row r="22" spans="1:6" ht="14" x14ac:dyDescent="0.15">
      <c r="A22" s="8" t="s">
        <v>96</v>
      </c>
      <c r="B22" s="8" t="s">
        <v>96</v>
      </c>
      <c r="C22" s="9" t="s">
        <v>67</v>
      </c>
      <c r="D22" s="9">
        <v>6</v>
      </c>
      <c r="E22" s="9" t="s">
        <v>301</v>
      </c>
      <c r="F22" s="9" t="s">
        <v>325</v>
      </c>
    </row>
    <row r="23" spans="1:6" ht="14" x14ac:dyDescent="0.15">
      <c r="A23" s="8" t="s">
        <v>221</v>
      </c>
      <c r="B23" s="8" t="s">
        <v>203</v>
      </c>
      <c r="C23" s="9" t="s">
        <v>67</v>
      </c>
      <c r="D23" s="9">
        <v>3.5</v>
      </c>
      <c r="E23" s="9" t="s">
        <v>303</v>
      </c>
      <c r="F23" s="9" t="s">
        <v>325</v>
      </c>
    </row>
    <row r="24" spans="1:6" ht="14" x14ac:dyDescent="0.15">
      <c r="A24" s="8" t="s">
        <v>98</v>
      </c>
      <c r="B24" s="8" t="s">
        <v>98</v>
      </c>
      <c r="C24" s="9" t="s">
        <v>90</v>
      </c>
      <c r="D24" s="9">
        <v>6</v>
      </c>
      <c r="E24" s="9" t="s">
        <v>301</v>
      </c>
      <c r="F24" s="9" t="s">
        <v>326</v>
      </c>
    </row>
    <row r="25" spans="1:6" ht="14" x14ac:dyDescent="0.15">
      <c r="A25" s="8" t="s">
        <v>104</v>
      </c>
      <c r="B25" s="8" t="s">
        <v>104</v>
      </c>
      <c r="C25" s="9" t="s">
        <v>90</v>
      </c>
      <c r="D25" s="9">
        <v>6</v>
      </c>
      <c r="E25" s="9" t="s">
        <v>301</v>
      </c>
      <c r="F25" s="9" t="s">
        <v>325</v>
      </c>
    </row>
    <row r="26" spans="1:6" ht="14" x14ac:dyDescent="0.15">
      <c r="A26" s="8" t="s">
        <v>85</v>
      </c>
      <c r="B26" s="8" t="s">
        <v>85</v>
      </c>
      <c r="C26" s="9" t="s">
        <v>90</v>
      </c>
      <c r="D26" s="9">
        <v>6</v>
      </c>
      <c r="E26" s="9" t="s">
        <v>303</v>
      </c>
      <c r="F26" s="9" t="s">
        <v>325</v>
      </c>
    </row>
    <row r="27" spans="1:6" ht="14" x14ac:dyDescent="0.15">
      <c r="A27" s="8" t="s">
        <v>155</v>
      </c>
      <c r="B27" s="8" t="s">
        <v>155</v>
      </c>
      <c r="C27" s="9" t="s">
        <v>67</v>
      </c>
      <c r="D27" s="9">
        <v>6</v>
      </c>
      <c r="E27" s="9" t="s">
        <v>302</v>
      </c>
      <c r="F27" s="9" t="s">
        <v>325</v>
      </c>
    </row>
    <row r="28" spans="1:6" ht="42" x14ac:dyDescent="0.15">
      <c r="A28" s="8" t="s">
        <v>159</v>
      </c>
      <c r="B28" s="8" t="s">
        <v>159</v>
      </c>
      <c r="C28" s="9" t="s">
        <v>90</v>
      </c>
      <c r="D28" s="9">
        <v>6</v>
      </c>
      <c r="E28" s="9" t="s">
        <v>301</v>
      </c>
      <c r="F28" s="9" t="s">
        <v>325</v>
      </c>
    </row>
    <row r="29" spans="1:6" ht="14" x14ac:dyDescent="0.15">
      <c r="A29" s="8" t="s">
        <v>226</v>
      </c>
      <c r="B29" s="8" t="s">
        <v>227</v>
      </c>
      <c r="C29" s="9" t="s">
        <v>67</v>
      </c>
      <c r="D29" s="9">
        <v>7.5</v>
      </c>
      <c r="E29" s="9" t="s">
        <v>301</v>
      </c>
      <c r="F29" s="9" t="s">
        <v>325</v>
      </c>
    </row>
    <row r="30" spans="1:6" ht="14" x14ac:dyDescent="0.15">
      <c r="A30" s="8" t="s">
        <v>226</v>
      </c>
      <c r="B30" s="8" t="s">
        <v>226</v>
      </c>
      <c r="C30" s="9" t="s">
        <v>67</v>
      </c>
      <c r="D30" s="9">
        <v>10</v>
      </c>
      <c r="E30" s="9" t="s">
        <v>302</v>
      </c>
      <c r="F30" s="9" t="s">
        <v>326</v>
      </c>
    </row>
    <row r="31" spans="1:6" ht="14" x14ac:dyDescent="0.15">
      <c r="A31" s="8" t="s">
        <v>110</v>
      </c>
      <c r="B31" s="8" t="s">
        <v>110</v>
      </c>
      <c r="C31" s="9" t="s">
        <v>67</v>
      </c>
      <c r="D31" s="9">
        <v>6</v>
      </c>
      <c r="E31" s="9" t="s">
        <v>301</v>
      </c>
      <c r="F31" s="9" t="s">
        <v>325</v>
      </c>
    </row>
    <row r="32" spans="1:6" ht="14" x14ac:dyDescent="0.15">
      <c r="A32" s="8" t="s">
        <v>116</v>
      </c>
      <c r="B32" s="8" t="s">
        <v>116</v>
      </c>
      <c r="C32" s="9" t="s">
        <v>67</v>
      </c>
      <c r="D32" s="9">
        <v>6</v>
      </c>
      <c r="E32" s="9" t="s">
        <v>301</v>
      </c>
      <c r="F32" s="9" t="s">
        <v>325</v>
      </c>
    </row>
    <row r="33" spans="1:6" ht="14" x14ac:dyDescent="0.15">
      <c r="A33" s="8" t="s">
        <v>230</v>
      </c>
      <c r="B33" s="8" t="s">
        <v>231</v>
      </c>
      <c r="C33" s="9" t="s">
        <v>67</v>
      </c>
      <c r="D33" s="9">
        <v>7.5</v>
      </c>
      <c r="E33" s="9" t="s">
        <v>303</v>
      </c>
      <c r="F33" s="9" t="s">
        <v>325</v>
      </c>
    </row>
    <row r="34" spans="1:6" ht="14" x14ac:dyDescent="0.15">
      <c r="A34" s="8" t="s">
        <v>374</v>
      </c>
      <c r="B34" s="8" t="s">
        <v>340</v>
      </c>
      <c r="C34" s="8" t="s">
        <v>90</v>
      </c>
      <c r="D34" s="8">
        <v>9</v>
      </c>
      <c r="E34" s="9" t="s">
        <v>302</v>
      </c>
      <c r="F34" s="8" t="s">
        <v>325</v>
      </c>
    </row>
    <row r="35" spans="1:6" ht="14" x14ac:dyDescent="0.15">
      <c r="A35" s="8" t="s">
        <v>119</v>
      </c>
      <c r="B35" s="8" t="s">
        <v>119</v>
      </c>
      <c r="C35" s="9" t="s">
        <v>67</v>
      </c>
      <c r="D35" s="9">
        <v>6</v>
      </c>
      <c r="E35" s="9" t="s">
        <v>301</v>
      </c>
      <c r="F35" s="9" t="s">
        <v>325</v>
      </c>
    </row>
    <row r="36" spans="1:6" ht="14" x14ac:dyDescent="0.15">
      <c r="A36" s="8" t="s">
        <v>123</v>
      </c>
      <c r="B36" s="8" t="s">
        <v>123</v>
      </c>
      <c r="C36" s="9" t="s">
        <v>67</v>
      </c>
      <c r="D36" s="9">
        <v>6</v>
      </c>
      <c r="E36" s="9" t="s">
        <v>303</v>
      </c>
      <c r="F36" s="9" t="s">
        <v>326</v>
      </c>
    </row>
    <row r="37" spans="1:6" ht="14" x14ac:dyDescent="0.15">
      <c r="A37" s="8" t="s">
        <v>233</v>
      </c>
      <c r="B37" s="8" t="s">
        <v>233</v>
      </c>
      <c r="C37" s="9" t="s">
        <v>90</v>
      </c>
      <c r="D37" s="9"/>
      <c r="E37" s="9" t="s">
        <v>301</v>
      </c>
      <c r="F37" s="9" t="s">
        <v>325</v>
      </c>
    </row>
    <row r="38" spans="1:6" ht="14" x14ac:dyDescent="0.15">
      <c r="A38" s="8" t="s">
        <v>127</v>
      </c>
      <c r="B38" s="8" t="s">
        <v>127</v>
      </c>
      <c r="C38" s="9" t="s">
        <v>67</v>
      </c>
      <c r="D38" s="9">
        <v>10</v>
      </c>
      <c r="E38" s="9" t="s">
        <v>302</v>
      </c>
      <c r="F38" s="9" t="s">
        <v>326</v>
      </c>
    </row>
    <row r="39" spans="1:6" ht="14" x14ac:dyDescent="0.15">
      <c r="A39" s="8" t="s">
        <v>236</v>
      </c>
      <c r="B39" s="8" t="s">
        <v>237</v>
      </c>
      <c r="C39" s="9" t="s">
        <v>137</v>
      </c>
      <c r="D39" s="9">
        <v>7.5</v>
      </c>
      <c r="E39" s="9" t="s">
        <v>301</v>
      </c>
      <c r="F39" s="9" t="s">
        <v>325</v>
      </c>
    </row>
    <row r="40" spans="1:6" ht="14" x14ac:dyDescent="0.15">
      <c r="A40" s="8" t="s">
        <v>298</v>
      </c>
      <c r="B40" s="8" t="s">
        <v>298</v>
      </c>
      <c r="C40" s="9" t="s">
        <v>67</v>
      </c>
      <c r="D40" s="9">
        <v>6</v>
      </c>
      <c r="E40" s="9" t="s">
        <v>301</v>
      </c>
      <c r="F40" s="9" t="s">
        <v>326</v>
      </c>
    </row>
    <row r="41" spans="1:6" ht="14" x14ac:dyDescent="0.15">
      <c r="A41" s="8" t="s">
        <v>290</v>
      </c>
      <c r="B41" s="8" t="s">
        <v>290</v>
      </c>
      <c r="C41" s="9" t="s">
        <v>67</v>
      </c>
      <c r="D41" s="9">
        <v>10</v>
      </c>
      <c r="E41" s="9" t="s">
        <v>302</v>
      </c>
      <c r="F41" s="9" t="s">
        <v>326</v>
      </c>
    </row>
    <row r="42" spans="1:6" ht="14" x14ac:dyDescent="0.15">
      <c r="A42" s="8" t="s">
        <v>382</v>
      </c>
      <c r="B42" s="8" t="s">
        <v>340</v>
      </c>
      <c r="C42" s="9" t="s">
        <v>90</v>
      </c>
      <c r="D42" s="8">
        <v>9</v>
      </c>
      <c r="E42" s="9" t="s">
        <v>302</v>
      </c>
      <c r="F42" s="8" t="s">
        <v>325</v>
      </c>
    </row>
    <row r="43" spans="1:6" ht="14" x14ac:dyDescent="0.15">
      <c r="A43" s="8" t="s">
        <v>146</v>
      </c>
      <c r="B43" s="8" t="s">
        <v>146</v>
      </c>
      <c r="C43" s="9" t="s">
        <v>67</v>
      </c>
      <c r="D43" s="9">
        <v>6</v>
      </c>
      <c r="E43" s="9" t="s">
        <v>303</v>
      </c>
      <c r="F43" s="9" t="s">
        <v>325</v>
      </c>
    </row>
    <row r="44" spans="1:6" ht="14" x14ac:dyDescent="0.15">
      <c r="A44" s="8" t="s">
        <v>130</v>
      </c>
      <c r="B44" s="8" t="s">
        <v>69</v>
      </c>
      <c r="C44" s="9" t="s">
        <v>67</v>
      </c>
      <c r="D44" s="9">
        <v>6</v>
      </c>
      <c r="E44" s="9" t="s">
        <v>302</v>
      </c>
      <c r="F44" s="9" t="s">
        <v>326</v>
      </c>
    </row>
    <row r="45" spans="1:6" ht="14" x14ac:dyDescent="0.15">
      <c r="A45" s="8" t="s">
        <v>134</v>
      </c>
      <c r="B45" s="8" t="s">
        <v>134</v>
      </c>
      <c r="C45" s="9" t="s">
        <v>137</v>
      </c>
      <c r="D45" s="9">
        <v>6</v>
      </c>
      <c r="E45" s="9" t="s">
        <v>301</v>
      </c>
      <c r="F45" s="9" t="s">
        <v>326</v>
      </c>
    </row>
    <row r="46" spans="1:6" ht="14" x14ac:dyDescent="0.15">
      <c r="A46" s="8" t="s">
        <v>314</v>
      </c>
      <c r="B46" s="8" t="s">
        <v>314</v>
      </c>
      <c r="C46" s="9" t="s">
        <v>67</v>
      </c>
      <c r="D46" s="9">
        <v>6</v>
      </c>
      <c r="E46" s="9" t="s">
        <v>301</v>
      </c>
      <c r="F46" s="9" t="s">
        <v>325</v>
      </c>
    </row>
    <row r="47" spans="1:6" ht="14" x14ac:dyDescent="0.15">
      <c r="A47" s="8" t="s">
        <v>280</v>
      </c>
      <c r="B47" s="8" t="s">
        <v>280</v>
      </c>
      <c r="C47" s="9" t="s">
        <v>67</v>
      </c>
      <c r="D47" s="9">
        <v>10</v>
      </c>
      <c r="E47" s="9" t="s">
        <v>303</v>
      </c>
      <c r="F47" s="9" t="s">
        <v>326</v>
      </c>
    </row>
    <row r="48" spans="1:6" ht="14" x14ac:dyDescent="0.15">
      <c r="A48" s="8" t="s">
        <v>142</v>
      </c>
      <c r="B48" s="8" t="s">
        <v>142</v>
      </c>
      <c r="C48" s="9" t="s">
        <v>67</v>
      </c>
      <c r="D48" s="9">
        <v>6</v>
      </c>
      <c r="E48" s="9" t="s">
        <v>301</v>
      </c>
      <c r="F48" s="9" t="s">
        <v>326</v>
      </c>
    </row>
    <row r="49" spans="1:6" ht="14" x14ac:dyDescent="0.15">
      <c r="A49" s="8" t="s">
        <v>300</v>
      </c>
      <c r="B49" s="8" t="s">
        <v>198</v>
      </c>
      <c r="C49" s="9" t="s">
        <v>67</v>
      </c>
      <c r="D49" s="9">
        <v>4</v>
      </c>
      <c r="E49" s="9" t="s">
        <v>303</v>
      </c>
      <c r="F49" s="9" t="s">
        <v>326</v>
      </c>
    </row>
    <row r="50" spans="1:6" ht="14" x14ac:dyDescent="0.15">
      <c r="A50" s="8" t="s">
        <v>300</v>
      </c>
      <c r="B50" s="8" t="s">
        <v>198</v>
      </c>
      <c r="C50" s="9" t="s">
        <v>67</v>
      </c>
      <c r="D50" s="9">
        <v>3.5</v>
      </c>
      <c r="E50" s="9" t="s">
        <v>301</v>
      </c>
      <c r="F50" s="9" t="s">
        <v>325</v>
      </c>
    </row>
    <row r="51" spans="1:6" ht="28" x14ac:dyDescent="0.15">
      <c r="A51" s="8" t="s">
        <v>139</v>
      </c>
      <c r="B51" s="8" t="s">
        <v>139</v>
      </c>
      <c r="C51" s="9" t="s">
        <v>90</v>
      </c>
      <c r="D51" s="9">
        <v>6</v>
      </c>
      <c r="E51" s="9" t="s">
        <v>301</v>
      </c>
      <c r="F51" s="9" t="s">
        <v>325</v>
      </c>
    </row>
    <row r="52" spans="1:6" ht="28" x14ac:dyDescent="0.15">
      <c r="A52" s="8" t="s">
        <v>241</v>
      </c>
      <c r="B52" s="8" t="s">
        <v>242</v>
      </c>
      <c r="C52" s="9" t="s">
        <v>67</v>
      </c>
      <c r="D52" s="9">
        <v>4</v>
      </c>
      <c r="E52" s="9" t="s">
        <v>303</v>
      </c>
      <c r="F52" s="9" t="s">
        <v>325</v>
      </c>
    </row>
    <row r="53" spans="1:6" ht="14" x14ac:dyDescent="0.15">
      <c r="A53" s="8" t="s">
        <v>245</v>
      </c>
      <c r="B53" s="8" t="s">
        <v>340</v>
      </c>
      <c r="C53" s="9" t="s">
        <v>90</v>
      </c>
      <c r="D53" s="9">
        <v>9</v>
      </c>
      <c r="E53" s="9" t="s">
        <v>302</v>
      </c>
      <c r="F53" s="9" t="s">
        <v>326</v>
      </c>
    </row>
    <row r="54" spans="1:6" ht="14" x14ac:dyDescent="0.15">
      <c r="A54" s="8" t="s">
        <v>281</v>
      </c>
      <c r="B54" s="8" t="s">
        <v>281</v>
      </c>
      <c r="C54" s="9" t="s">
        <v>67</v>
      </c>
      <c r="D54" s="9">
        <v>5</v>
      </c>
      <c r="E54" s="9" t="s">
        <v>303</v>
      </c>
      <c r="F54" s="9" t="s">
        <v>325</v>
      </c>
    </row>
    <row r="55" spans="1:6" ht="14" x14ac:dyDescent="0.15">
      <c r="A55" s="8" t="s">
        <v>284</v>
      </c>
      <c r="B55" s="8" t="s">
        <v>284</v>
      </c>
      <c r="C55" s="9" t="s">
        <v>67</v>
      </c>
      <c r="D55" s="9">
        <v>5</v>
      </c>
      <c r="E55" s="9" t="s">
        <v>302</v>
      </c>
      <c r="F55" s="9" t="s">
        <v>326</v>
      </c>
    </row>
    <row r="56" spans="1:6" ht="28" x14ac:dyDescent="0.15">
      <c r="A56" s="8" t="s">
        <v>373</v>
      </c>
      <c r="B56" s="8" t="s">
        <v>373</v>
      </c>
      <c r="C56" s="9" t="s">
        <v>90</v>
      </c>
      <c r="D56" s="9">
        <v>4</v>
      </c>
      <c r="E56" s="9" t="s">
        <v>302</v>
      </c>
      <c r="F56" s="9" t="s">
        <v>325</v>
      </c>
    </row>
    <row r="57" spans="1:6" ht="14" x14ac:dyDescent="0.15">
      <c r="A57" s="8" t="s">
        <v>248</v>
      </c>
      <c r="B57" s="8" t="s">
        <v>203</v>
      </c>
      <c r="C57" s="9" t="s">
        <v>67</v>
      </c>
      <c r="D57" s="9">
        <v>4</v>
      </c>
      <c r="E57" s="9" t="s">
        <v>303</v>
      </c>
      <c r="F57" s="9" t="s">
        <v>325</v>
      </c>
    </row>
    <row r="58" spans="1:6" ht="14" x14ac:dyDescent="0.15">
      <c r="A58" s="8" t="s">
        <v>286</v>
      </c>
      <c r="B58" s="8" t="s">
        <v>286</v>
      </c>
      <c r="C58" s="9" t="s">
        <v>67</v>
      </c>
      <c r="D58" s="9">
        <v>10</v>
      </c>
      <c r="E58" s="9" t="s">
        <v>301</v>
      </c>
      <c r="F58" s="9" t="s">
        <v>325</v>
      </c>
    </row>
    <row r="59" spans="1:6" ht="42" x14ac:dyDescent="0.15">
      <c r="A59" s="8" t="s">
        <v>287</v>
      </c>
      <c r="B59" s="8" t="s">
        <v>287</v>
      </c>
      <c r="C59" s="9" t="s">
        <v>67</v>
      </c>
      <c r="D59" s="9">
        <v>5</v>
      </c>
      <c r="E59" s="9" t="s">
        <v>303</v>
      </c>
      <c r="F59" s="9" t="s">
        <v>325</v>
      </c>
    </row>
    <row r="60" spans="1:6" ht="14" x14ac:dyDescent="0.15">
      <c r="A60" s="8" t="s">
        <v>250</v>
      </c>
      <c r="B60" s="8" t="s">
        <v>340</v>
      </c>
      <c r="C60" s="9" t="s">
        <v>90</v>
      </c>
      <c r="D60" s="9">
        <v>9</v>
      </c>
      <c r="E60" s="9" t="s">
        <v>302</v>
      </c>
      <c r="F60" s="9" t="s">
        <v>325</v>
      </c>
    </row>
    <row r="61" spans="1:6" ht="14" x14ac:dyDescent="0.15">
      <c r="A61" s="8" t="s">
        <v>163</v>
      </c>
      <c r="B61" s="8" t="s">
        <v>69</v>
      </c>
      <c r="C61" s="9" t="s">
        <v>67</v>
      </c>
      <c r="D61" s="9">
        <v>6</v>
      </c>
      <c r="E61" s="9" t="s">
        <v>302</v>
      </c>
      <c r="F61" s="9" t="s">
        <v>326</v>
      </c>
    </row>
    <row r="62" spans="1:6" ht="14" x14ac:dyDescent="0.15">
      <c r="A62" s="8" t="s">
        <v>313</v>
      </c>
      <c r="B62" s="8" t="s">
        <v>69</v>
      </c>
      <c r="C62" s="9" t="s">
        <v>67</v>
      </c>
      <c r="D62" s="9">
        <v>6</v>
      </c>
      <c r="E62" s="9" t="s">
        <v>302</v>
      </c>
      <c r="F62" s="9" t="s">
        <v>326</v>
      </c>
    </row>
    <row r="63" spans="1:6" ht="28" x14ac:dyDescent="0.15">
      <c r="A63" s="8" t="s">
        <v>295</v>
      </c>
      <c r="B63" s="8" t="s">
        <v>339</v>
      </c>
      <c r="C63" s="9" t="s">
        <v>67</v>
      </c>
      <c r="D63" s="9">
        <v>5</v>
      </c>
      <c r="E63" s="9" t="s">
        <v>305</v>
      </c>
      <c r="F63" s="9" t="s">
        <v>325</v>
      </c>
    </row>
    <row r="64" spans="1:6" ht="14" x14ac:dyDescent="0.15">
      <c r="A64" s="8" t="s">
        <v>294</v>
      </c>
      <c r="B64" s="8" t="s">
        <v>339</v>
      </c>
      <c r="C64" s="9" t="s">
        <v>67</v>
      </c>
      <c r="D64" s="9">
        <v>5</v>
      </c>
      <c r="E64" s="9" t="s">
        <v>306</v>
      </c>
      <c r="F64" s="9" t="s">
        <v>325</v>
      </c>
    </row>
    <row r="65" spans="1:6" ht="14" x14ac:dyDescent="0.15">
      <c r="A65" s="8" t="s">
        <v>293</v>
      </c>
      <c r="B65" s="8" t="s">
        <v>339</v>
      </c>
      <c r="C65" s="9" t="s">
        <v>67</v>
      </c>
      <c r="D65" s="9">
        <v>5</v>
      </c>
      <c r="E65" s="9" t="s">
        <v>304</v>
      </c>
      <c r="F65" s="9" t="s">
        <v>325</v>
      </c>
    </row>
    <row r="66" spans="1:6" ht="14" x14ac:dyDescent="0.15">
      <c r="A66" s="8" t="s">
        <v>386</v>
      </c>
      <c r="B66" s="8" t="s">
        <v>340</v>
      </c>
      <c r="C66" s="9" t="s">
        <v>90</v>
      </c>
      <c r="D66" s="8">
        <v>9</v>
      </c>
      <c r="E66" s="9" t="s">
        <v>302</v>
      </c>
      <c r="F66" s="8" t="s">
        <v>325</v>
      </c>
    </row>
    <row r="67" spans="1:6" ht="14" x14ac:dyDescent="0.15">
      <c r="A67" s="8" t="s">
        <v>165</v>
      </c>
      <c r="B67" s="8" t="s">
        <v>165</v>
      </c>
      <c r="C67" s="9" t="s">
        <v>90</v>
      </c>
      <c r="D67" s="9">
        <v>6</v>
      </c>
      <c r="E67" s="9" t="s">
        <v>301</v>
      </c>
      <c r="F67" s="9" t="s">
        <v>326</v>
      </c>
    </row>
    <row r="68" spans="1:6" ht="14" x14ac:dyDescent="0.15">
      <c r="A68" s="8" t="s">
        <v>151</v>
      </c>
      <c r="B68" s="8" t="s">
        <v>151</v>
      </c>
      <c r="C68" s="9" t="s">
        <v>90</v>
      </c>
      <c r="D68" s="9">
        <v>6</v>
      </c>
      <c r="E68" s="9" t="s">
        <v>302</v>
      </c>
      <c r="F68" s="9" t="s">
        <v>326</v>
      </c>
    </row>
    <row r="69" spans="1:6" ht="14" x14ac:dyDescent="0.15">
      <c r="A69" s="8" t="s">
        <v>251</v>
      </c>
      <c r="B69" s="8" t="s">
        <v>340</v>
      </c>
      <c r="C69" s="9" t="s">
        <v>90</v>
      </c>
      <c r="D69" s="9">
        <v>9</v>
      </c>
      <c r="E69" s="9" t="s">
        <v>302</v>
      </c>
      <c r="F69" s="9" t="s">
        <v>326</v>
      </c>
    </row>
    <row r="70" spans="1:6" ht="28" x14ac:dyDescent="0.15">
      <c r="A70" s="8" t="s">
        <v>168</v>
      </c>
      <c r="B70" s="8" t="s">
        <v>168</v>
      </c>
      <c r="C70" s="9" t="s">
        <v>67</v>
      </c>
      <c r="D70" s="9">
        <v>6</v>
      </c>
      <c r="E70" s="9" t="s">
        <v>303</v>
      </c>
      <c r="F70" s="9" t="s">
        <v>326</v>
      </c>
    </row>
    <row r="71" spans="1:6" ht="14" x14ac:dyDescent="0.15">
      <c r="A71" s="8" t="s">
        <v>257</v>
      </c>
      <c r="B71" s="8" t="s">
        <v>257</v>
      </c>
      <c r="C71" s="9" t="s">
        <v>90</v>
      </c>
      <c r="D71" s="9">
        <v>10</v>
      </c>
      <c r="E71" s="9" t="s">
        <v>309</v>
      </c>
      <c r="F71" s="9" t="s">
        <v>325</v>
      </c>
    </row>
    <row r="72" spans="1:6" ht="14" x14ac:dyDescent="0.15">
      <c r="A72" s="8" t="s">
        <v>259</v>
      </c>
      <c r="B72" s="8" t="s">
        <v>340</v>
      </c>
      <c r="C72" s="9" t="s">
        <v>67</v>
      </c>
      <c r="D72" s="9">
        <v>9</v>
      </c>
      <c r="E72" s="9" t="s">
        <v>302</v>
      </c>
      <c r="F72" s="9" t="s">
        <v>326</v>
      </c>
    </row>
    <row r="73" spans="1:6" ht="14" x14ac:dyDescent="0.15">
      <c r="A73" s="8" t="s">
        <v>265</v>
      </c>
      <c r="B73" s="8" t="s">
        <v>265</v>
      </c>
      <c r="C73" s="9" t="s">
        <v>90</v>
      </c>
      <c r="D73" s="9">
        <v>8</v>
      </c>
      <c r="E73" s="9" t="s">
        <v>301</v>
      </c>
      <c r="F73" s="9" t="s">
        <v>326</v>
      </c>
    </row>
  </sheetData>
  <autoFilter ref="A2:F73" xr:uid="{00000000-0009-0000-0000-000002000000}">
    <sortState xmlns:xlrd2="http://schemas.microsoft.com/office/spreadsheetml/2017/richdata2" ref="A3:F73">
      <sortCondition ref="A2:A73"/>
    </sortState>
  </autoFilter>
  <sortState xmlns:xlrd2="http://schemas.microsoft.com/office/spreadsheetml/2017/richdata2" ref="A3:F69">
    <sortCondition ref="B3:B69"/>
  </sortState>
  <pageMargins left="0.25" right="0.25" top="0.75" bottom="0.75" header="0.3" footer="0.3"/>
  <pageSetup paperSize="9" scale="56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Liste</vt:lpstr>
      <vt:lpstr>Kursliste</vt:lpstr>
      <vt:lpstr>Übersicht Winter 19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User</dc:creator>
  <dc:description/>
  <cp:lastModifiedBy>Martin C. Arnold</cp:lastModifiedBy>
  <cp:revision>16</cp:revision>
  <cp:lastPrinted>2019-10-07T09:18:59Z</cp:lastPrinted>
  <dcterms:created xsi:type="dcterms:W3CDTF">2013-03-26T18:32:35Z</dcterms:created>
  <dcterms:modified xsi:type="dcterms:W3CDTF">2021-04-12T11:12:38Z</dcterms:modified>
  <dc:language>de-DE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